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FF7B0B5E-8EEA-475B-B0A3-C3E2924A48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ventario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B5" i="2"/>
  <c r="D4" i="2"/>
  <c r="B4" i="2"/>
  <c r="D137" i="1"/>
  <c r="F131" i="1"/>
  <c r="F132" i="1"/>
  <c r="F133" i="1"/>
  <c r="F134" i="1"/>
  <c r="F135" i="1"/>
  <c r="F124" i="1"/>
  <c r="F125" i="1"/>
  <c r="F126" i="1"/>
  <c r="F127" i="1"/>
  <c r="F128" i="1"/>
  <c r="F129" i="1"/>
  <c r="F130" i="1"/>
  <c r="F110" i="1"/>
  <c r="F109" i="1"/>
  <c r="F108" i="1"/>
  <c r="F107" i="1"/>
  <c r="F106" i="1"/>
  <c r="F105" i="1"/>
  <c r="F104" i="1"/>
  <c r="F103" i="1"/>
  <c r="F119" i="1"/>
  <c r="F120" i="1"/>
  <c r="F121" i="1"/>
  <c r="F122" i="1"/>
  <c r="F123" i="1"/>
  <c r="F68" i="1"/>
  <c r="F69" i="1"/>
  <c r="F70" i="1"/>
  <c r="F35" i="1"/>
  <c r="F33" i="1"/>
  <c r="C5" i="2" s="1"/>
  <c r="F40" i="1"/>
  <c r="F31" i="1"/>
  <c r="F4" i="1"/>
  <c r="F84" i="1"/>
  <c r="F48" i="1"/>
  <c r="F51" i="1"/>
  <c r="F5" i="1"/>
  <c r="F56" i="1"/>
  <c r="F72" i="1"/>
  <c r="F71" i="1"/>
  <c r="F73" i="1"/>
  <c r="F67" i="1"/>
  <c r="F66" i="1"/>
  <c r="F64" i="1"/>
  <c r="F65" i="1"/>
  <c r="F63" i="1"/>
  <c r="F58" i="1"/>
  <c r="F59" i="1"/>
  <c r="F61" i="1"/>
  <c r="F60" i="1"/>
  <c r="F102" i="1"/>
  <c r="F96" i="1"/>
  <c r="F49" i="1"/>
  <c r="F55" i="1"/>
  <c r="F82" i="1"/>
  <c r="F83" i="1"/>
  <c r="F57" i="1"/>
  <c r="F50" i="1"/>
  <c r="F54" i="1"/>
  <c r="F53" i="1"/>
  <c r="F92" i="1"/>
  <c r="F95" i="1"/>
  <c r="F94" i="1"/>
  <c r="F93" i="1"/>
  <c r="F81" i="1"/>
  <c r="F78" i="1"/>
  <c r="F79" i="1"/>
  <c r="F80" i="1"/>
  <c r="F77" i="1"/>
  <c r="F6" i="1"/>
  <c r="F52" i="1"/>
  <c r="F62" i="1"/>
  <c r="F7" i="1"/>
  <c r="F98" i="1"/>
  <c r="F97" i="1"/>
  <c r="F99" i="1"/>
  <c r="F101" i="1"/>
  <c r="F100" i="1"/>
  <c r="F74" i="1"/>
  <c r="F91" i="1"/>
  <c r="F90" i="1"/>
  <c r="F87" i="1"/>
  <c r="F89" i="1"/>
  <c r="F88" i="1"/>
  <c r="F86" i="1"/>
  <c r="F85" i="1"/>
  <c r="F75" i="1"/>
  <c r="F76" i="1"/>
  <c r="F112" i="1"/>
  <c r="F45" i="1"/>
  <c r="F36" i="1"/>
  <c r="F34" i="1"/>
  <c r="F44" i="1"/>
  <c r="F32" i="1"/>
  <c r="F42" i="1"/>
  <c r="F39" i="1"/>
  <c r="F41" i="1"/>
  <c r="F115" i="1"/>
  <c r="F117" i="1"/>
  <c r="F118" i="1"/>
  <c r="F111" i="1"/>
  <c r="F116" i="1"/>
  <c r="F114" i="1"/>
  <c r="F113" i="1"/>
  <c r="F47" i="1"/>
  <c r="F46" i="1"/>
  <c r="F43" i="1"/>
  <c r="F37" i="1"/>
  <c r="F38" i="1"/>
  <c r="F11" i="1"/>
  <c r="F9" i="1"/>
  <c r="F18" i="1"/>
  <c r="F10" i="1"/>
  <c r="F8" i="1"/>
  <c r="C4" i="2" s="1"/>
  <c r="F24" i="1"/>
  <c r="F25" i="1"/>
  <c r="F30" i="1"/>
  <c r="F17" i="1"/>
  <c r="F20" i="1"/>
  <c r="F27" i="1"/>
  <c r="F29" i="1"/>
  <c r="F12" i="1"/>
  <c r="F14" i="1"/>
  <c r="F15" i="1"/>
  <c r="F23" i="1"/>
  <c r="F21" i="1"/>
  <c r="F13" i="1"/>
  <c r="F22" i="1"/>
  <c r="F16" i="1"/>
  <c r="F26" i="1"/>
  <c r="F28" i="1"/>
  <c r="F19" i="1"/>
  <c r="F137" i="1" l="1"/>
  <c r="B10" i="2"/>
  <c r="D10" i="2"/>
  <c r="C10" i="2" l="1"/>
</calcChain>
</file>

<file path=xl/sharedStrings.xml><?xml version="1.0" encoding="utf-8"?>
<sst xmlns="http://schemas.openxmlformats.org/spreadsheetml/2006/main" count="412" uniqueCount="250">
  <si>
    <t>INVENTARIO DE REPUESTOS</t>
  </si>
  <si>
    <t>Categoría</t>
  </si>
  <si>
    <t>Producto</t>
  </si>
  <si>
    <t>Referencia / Descripción</t>
  </si>
  <si>
    <t>Cantidad</t>
  </si>
  <si>
    <t>Precio unitario</t>
  </si>
  <si>
    <t>Valor total</t>
  </si>
  <si>
    <t>Rodillos</t>
  </si>
  <si>
    <t>Rodillo 32207</t>
  </si>
  <si>
    <t>32207</t>
  </si>
  <si>
    <t>Rodillo 28680</t>
  </si>
  <si>
    <t>28680</t>
  </si>
  <si>
    <t>Rodillo 29586</t>
  </si>
  <si>
    <t>29586</t>
  </si>
  <si>
    <t>Rodillo 32210</t>
  </si>
  <si>
    <t>32210</t>
  </si>
  <si>
    <t>Rodillo 30213</t>
  </si>
  <si>
    <t>30213</t>
  </si>
  <si>
    <t>Rodillo 32307</t>
  </si>
  <si>
    <t>32307</t>
  </si>
  <si>
    <t>Rodillo 30310</t>
  </si>
  <si>
    <t>30310</t>
  </si>
  <si>
    <t>Rodillo 32213</t>
  </si>
  <si>
    <t>32213</t>
  </si>
  <si>
    <t>Rodillo 32215</t>
  </si>
  <si>
    <t>32215</t>
  </si>
  <si>
    <t>Rodillo 32310</t>
  </si>
  <si>
    <t>32310</t>
  </si>
  <si>
    <t>Rodillo 28584</t>
  </si>
  <si>
    <t>28584</t>
  </si>
  <si>
    <t>Rodillo 28985</t>
  </si>
  <si>
    <t>28985</t>
  </si>
  <si>
    <t>Rodillo 32206</t>
  </si>
  <si>
    <t>32206</t>
  </si>
  <si>
    <t>Rodillo 32209</t>
  </si>
  <si>
    <t>32209</t>
  </si>
  <si>
    <t>Rodillo 2780</t>
  </si>
  <si>
    <t>2780</t>
  </si>
  <si>
    <t>Rodillo 30211</t>
  </si>
  <si>
    <t>30211</t>
  </si>
  <si>
    <t>Rodillo 30212</t>
  </si>
  <si>
    <t>30212</t>
  </si>
  <si>
    <t>Rodillo 4090</t>
  </si>
  <si>
    <t>4090</t>
  </si>
  <si>
    <t>Rodillo 3780</t>
  </si>
  <si>
    <t>3780</t>
  </si>
  <si>
    <t>Rodillo 32208</t>
  </si>
  <si>
    <t>32208</t>
  </si>
  <si>
    <t>Rodillo 3982</t>
  </si>
  <si>
    <t>3982</t>
  </si>
  <si>
    <t>Rodillo 33287</t>
  </si>
  <si>
    <t>33287</t>
  </si>
  <si>
    <t>Retenedores</t>
  </si>
  <si>
    <t>Retenedor trasero externo NKR Homologado</t>
  </si>
  <si>
    <t>NKR Homologado</t>
  </si>
  <si>
    <t>Retenedor trasero externo NKR Original</t>
  </si>
  <si>
    <t>NKR Original</t>
  </si>
  <si>
    <t>Retenedor delantero NQR/NPR Original</t>
  </si>
  <si>
    <t>NQR/NPR Original</t>
  </si>
  <si>
    <t>Retenedor delantero Agrale Micro</t>
  </si>
  <si>
    <t>Agrale Micro</t>
  </si>
  <si>
    <t>Retenedor delantero Agrale buseton</t>
  </si>
  <si>
    <t>Agrale buseton</t>
  </si>
  <si>
    <t>TOTAL GENERAL</t>
  </si>
  <si>
    <t>RESUMEN DEL INVENTARIO</t>
  </si>
  <si>
    <t>Unidades</t>
  </si>
  <si>
    <t>Valor inventario</t>
  </si>
  <si>
    <t>Líneas registradas</t>
  </si>
  <si>
    <t>TOTAL</t>
  </si>
  <si>
    <t>Hino</t>
  </si>
  <si>
    <t>NPR/NQR Externo</t>
  </si>
  <si>
    <t>Retenedor trasero NPR/NQR Externo Homologado</t>
  </si>
  <si>
    <t>Retenedor trasero Hino Homologado</t>
  </si>
  <si>
    <t>Retenedor delantero Hino Homologado</t>
  </si>
  <si>
    <t>Retenedor delantero NPR Homologado</t>
  </si>
  <si>
    <t>NPR Delantero</t>
  </si>
  <si>
    <t>Retenedor trasero NQR Homologado</t>
  </si>
  <si>
    <t>NQR Homologado</t>
  </si>
  <si>
    <t>Retenedor Hino trasero 69100</t>
  </si>
  <si>
    <t>Hino trasero VDC</t>
  </si>
  <si>
    <t>Retenedor NPR Externo</t>
  </si>
  <si>
    <t>NPR Externo</t>
  </si>
  <si>
    <t>Bandas</t>
  </si>
  <si>
    <t>Medio juego</t>
  </si>
  <si>
    <t>Banda 9318 Est - Mc Block FRR Delantera</t>
  </si>
  <si>
    <t xml:space="preserve">Banda 9388 Est - Mc Block NQR </t>
  </si>
  <si>
    <t>Banda 9133 X Mc Block Hino</t>
  </si>
  <si>
    <t xml:space="preserve">Banda 9388 X Mc Block NQR </t>
  </si>
  <si>
    <t>Banda 9133 Est Mc Block Hino</t>
  </si>
  <si>
    <t>Banda 9318 Fx Incolbest Est</t>
  </si>
  <si>
    <t>Banda 9217 Est Mc Block Trasera FRR</t>
  </si>
  <si>
    <t>Banda 9144 Est Mc Block NPR Aire</t>
  </si>
  <si>
    <t>Banda 20101X Premier 94</t>
  </si>
  <si>
    <t xml:space="preserve">Banda 20101 Est </t>
  </si>
  <si>
    <t>Banda 20101 X</t>
  </si>
  <si>
    <t>Banda 20121 Est Premier 94 Hino</t>
  </si>
  <si>
    <t>Banda 20121 Est FxBest Hino</t>
  </si>
  <si>
    <t>Banda 9134 X Fx Hino Adaptación</t>
  </si>
  <si>
    <t>Banda 2137 XX Premier 94 Delta</t>
  </si>
  <si>
    <t>Banda 21104 Premier 94 NKR XX</t>
  </si>
  <si>
    <t>Grasa</t>
  </si>
  <si>
    <t>Grasa Super Litio</t>
  </si>
  <si>
    <t>Grasa Litio</t>
  </si>
  <si>
    <t>Chupas</t>
  </si>
  <si>
    <t>Kit Chupas</t>
  </si>
  <si>
    <t>Chupas 3/8</t>
  </si>
  <si>
    <t>Chupa 1 3/8 American Rubber</t>
  </si>
  <si>
    <t>Chupa 1 5/16 American Rubber</t>
  </si>
  <si>
    <t>Chupas 5/16</t>
  </si>
  <si>
    <t>Chupas 1 3/16 American Rubber</t>
  </si>
  <si>
    <t>Chupas 3/16</t>
  </si>
  <si>
    <t>Chupas 1 1/8 American Rubber</t>
  </si>
  <si>
    <t>Chupas 1/8</t>
  </si>
  <si>
    <t>Chupas 1 1/8 Seiken</t>
  </si>
  <si>
    <t>Chupas originales NPR Freno delantero</t>
  </si>
  <si>
    <t>Chupas originales NPR Freno trasero</t>
  </si>
  <si>
    <t xml:space="preserve">Grasa Starplex </t>
  </si>
  <si>
    <t>Grasa Starplex</t>
  </si>
  <si>
    <t>Grasa Ac Delco</t>
  </si>
  <si>
    <t>Grasa Ac Delco Premium</t>
  </si>
  <si>
    <t>Troques</t>
  </si>
  <si>
    <t>Juego de Splinder Bujes y Pasadores</t>
  </si>
  <si>
    <t>Juego de Splinder</t>
  </si>
  <si>
    <t>Tapones</t>
  </si>
  <si>
    <t>Tapones de chasis y hoja NPR/NQR</t>
  </si>
  <si>
    <t>Bujes delanteros NPR</t>
  </si>
  <si>
    <t>Bujeres traseros NPR/NQR</t>
  </si>
  <si>
    <t>Bujes delanteros NPR Enterizos Delanteros</t>
  </si>
  <si>
    <t>Bujes traseros NPR/NQR 18 MM Traseros</t>
  </si>
  <si>
    <t>Bujes cobre Hino 30x25</t>
  </si>
  <si>
    <t>Bujeres cobre Hino</t>
  </si>
  <si>
    <t>Buje bimetalico Hino 31x25</t>
  </si>
  <si>
    <t>Buje bimetalico Hino 32x25</t>
  </si>
  <si>
    <t>Buje bimetalico</t>
  </si>
  <si>
    <t>Muelles</t>
  </si>
  <si>
    <t>Balancin delantero NPR/NQR</t>
  </si>
  <si>
    <t>Balancin trasero NPR/NQR</t>
  </si>
  <si>
    <t>Pasadores 18 MM x 5</t>
  </si>
  <si>
    <t xml:space="preserve">Pasador </t>
  </si>
  <si>
    <t>Pasador cuñeros Hino delantero</t>
  </si>
  <si>
    <t>Pasador cuñero</t>
  </si>
  <si>
    <t>Pasador tensora</t>
  </si>
  <si>
    <t>Pasador tensora Hino</t>
  </si>
  <si>
    <t>Centrales FRR x 4</t>
  </si>
  <si>
    <t>Centrales</t>
  </si>
  <si>
    <t>Central 1/2 x 8 10 y 12</t>
  </si>
  <si>
    <t>Central 3/8 x 4-6-8-10</t>
  </si>
  <si>
    <t>Central de 7/16 x 4-6-8-10</t>
  </si>
  <si>
    <t>Grapas 2 3/4  x 8 NPR/HINO</t>
  </si>
  <si>
    <t>Grapas</t>
  </si>
  <si>
    <t>Grapas 2 3/4 x 7 NPR/HINO</t>
  </si>
  <si>
    <t>Grapas 2 3/4 x 6 NPR/HINO</t>
  </si>
  <si>
    <t>Grapas 2 3/4 x 5 NPR/HINO</t>
  </si>
  <si>
    <t xml:space="preserve">Grapas 3' x 5 </t>
  </si>
  <si>
    <t>Topes</t>
  </si>
  <si>
    <t>Tope auxiliar trasero NPR/NQR</t>
  </si>
  <si>
    <t>Buje agrale delantero</t>
  </si>
  <si>
    <t>Buje agrale</t>
  </si>
  <si>
    <t>Cauchos de barra NKR</t>
  </si>
  <si>
    <t>Cauchos barra</t>
  </si>
  <si>
    <t>Frenos</t>
  </si>
  <si>
    <t>Piston de tarro de aire</t>
  </si>
  <si>
    <t>Piston tarro</t>
  </si>
  <si>
    <t>Orrin piston de tarro de aire</t>
  </si>
  <si>
    <t>Orrin piston</t>
  </si>
  <si>
    <t xml:space="preserve">Diafragma TP 24 </t>
  </si>
  <si>
    <t>Diafragma</t>
  </si>
  <si>
    <t xml:space="preserve">Diafragma TP 16 </t>
  </si>
  <si>
    <t>Aceite</t>
  </si>
  <si>
    <t>Liquido de frenos aleman 1L</t>
  </si>
  <si>
    <t>Liquido de frenos</t>
  </si>
  <si>
    <t>Pinta liquido de frenos DOT4 240 ML</t>
  </si>
  <si>
    <t>Aceite caja</t>
  </si>
  <si>
    <t>Aceite transmisión</t>
  </si>
  <si>
    <t>Pinta liquido de frenos DOT4 1L</t>
  </si>
  <si>
    <t>Aceite transm 85W140 Spirax</t>
  </si>
  <si>
    <t>Aceite de caja 80W90 Ac Delco</t>
  </si>
  <si>
    <t>Ursa 15W40 Premium</t>
  </si>
  <si>
    <t>Aceite motor</t>
  </si>
  <si>
    <t>Mobil delvac 15W40</t>
  </si>
  <si>
    <t>Retenedor NPR trasero 20500</t>
  </si>
  <si>
    <t>NPR trasero 20500</t>
  </si>
  <si>
    <t>Hojas</t>
  </si>
  <si>
    <t>Hoja NKR</t>
  </si>
  <si>
    <t>Hoja 22934 Principal NKR</t>
  </si>
  <si>
    <t>Hoja 22920 Principal NPR Delantera</t>
  </si>
  <si>
    <t>Hoja NPR</t>
  </si>
  <si>
    <t xml:space="preserve">Hoja 22017 Principal trasera NQR </t>
  </si>
  <si>
    <t>Hoja NQR</t>
  </si>
  <si>
    <t>Segunda vuelta Hino</t>
  </si>
  <si>
    <t>Hoja delantera segunda vuelta HINO 48210 imal</t>
  </si>
  <si>
    <t>Hoja delantera segunda vuelta hino parabolica 48150</t>
  </si>
  <si>
    <t>Hoja parabolica segunda v</t>
  </si>
  <si>
    <t>Hoja segunda vuelta trasera NQR 22017</t>
  </si>
  <si>
    <t>Segunda vuelta NQR</t>
  </si>
  <si>
    <t>Hoja segunda plana AD trasera NPR/NQR 22920</t>
  </si>
  <si>
    <t>Hoja segunda plana AD</t>
  </si>
  <si>
    <t>Hoja segunda vuelta trasera NQR 22918</t>
  </si>
  <si>
    <t>Segunda vuelta trasera NQR</t>
  </si>
  <si>
    <t>Hoja 22934 segunda vuelta NKR Del</t>
  </si>
  <si>
    <t>Hoja 22934 segunda plana NKR del</t>
  </si>
  <si>
    <t>Hoja 22934 tercera vuelta NKR del</t>
  </si>
  <si>
    <t>Rimula 15W40 Galon R4 1 Galon</t>
  </si>
  <si>
    <t>Ursa SAE 50 API CF/SF</t>
  </si>
  <si>
    <t>Aceite de motor</t>
  </si>
  <si>
    <t>Desengrasante bridely</t>
  </si>
  <si>
    <t>desengrasante</t>
  </si>
  <si>
    <t>Desengrasante</t>
  </si>
  <si>
    <t>Refrigerante</t>
  </si>
  <si>
    <t>Refrigerante Ac Delco</t>
  </si>
  <si>
    <t>Filtros</t>
  </si>
  <si>
    <t xml:space="preserve">Kit de filtros NQR </t>
  </si>
  <si>
    <t>Filtros NQR</t>
  </si>
  <si>
    <t>Kit de filtros NPR</t>
  </si>
  <si>
    <t>Filtros NPR</t>
  </si>
  <si>
    <t>Kit de filtros NHR</t>
  </si>
  <si>
    <t>Filtros NHR</t>
  </si>
  <si>
    <t>Kit de filtros NKR</t>
  </si>
  <si>
    <t>Filtros NKR</t>
  </si>
  <si>
    <t>Retenedor NPR 20504</t>
  </si>
  <si>
    <t>NPR 20504</t>
  </si>
  <si>
    <t>NQR Original</t>
  </si>
  <si>
    <t>Retenedor Original NQR</t>
  </si>
  <si>
    <t>Retenedor original tranmisión NPR</t>
  </si>
  <si>
    <t>Retenedor transmisión NPR</t>
  </si>
  <si>
    <t xml:space="preserve">Filtro de aire NPR/NQR </t>
  </si>
  <si>
    <t>Filtro de aire NPR/NQR</t>
  </si>
  <si>
    <t>Filtro de aire Hino 2009</t>
  </si>
  <si>
    <t>Filtro de aire Hino hasta 2009</t>
  </si>
  <si>
    <t>Filtro de aceite NKR/NNR</t>
  </si>
  <si>
    <t>Filtro de aire NKR</t>
  </si>
  <si>
    <t>Filtro de aire NKR 2024/2025</t>
  </si>
  <si>
    <t xml:space="preserve">Filtro de aire NKR </t>
  </si>
  <si>
    <t>Kit de filtros Hino 300</t>
  </si>
  <si>
    <t>Kit filtros Hino</t>
  </si>
  <si>
    <t>Filtro de aire NPR Tecnifiltro</t>
  </si>
  <si>
    <t>Filtro de aire NPR</t>
  </si>
  <si>
    <t>Filtro acpm</t>
  </si>
  <si>
    <t>Filtro de aire NKR 2004-2008</t>
  </si>
  <si>
    <t>Filtro de acpm Hino 2008-2010 Ref 1345B</t>
  </si>
  <si>
    <t>Filtro de aceite Hino 500 Ref 7105</t>
  </si>
  <si>
    <t xml:space="preserve">Filtro aceite Hino </t>
  </si>
  <si>
    <t xml:space="preserve">Filtro de acpm Hino 300 Ref 13190 </t>
  </si>
  <si>
    <t>Filtro acpm Hino 300</t>
  </si>
  <si>
    <t>Filtro de acpm NHR Ref 7534</t>
  </si>
  <si>
    <t>Filtro acpm NHR</t>
  </si>
  <si>
    <t>Filtro de aceite NHR/NKR Ref 4271</t>
  </si>
  <si>
    <t>Filtro de aceite NHR/NKR</t>
  </si>
  <si>
    <t>Filtro de aceite NPR/NQR Ref 7041</t>
  </si>
  <si>
    <t xml:space="preserve">Filtro de aceite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</si>
</sst>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5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2" fillId="4" borderId="0" xfId="0" applyFont="1" applyFill="1"/>
    <xf numFmtId="164" fontId="2" fillId="4" borderId="0" xfId="0" applyNumberFormat="1" applyFont="1" applyFill="1"/>
    <xf numFmtId="0" fontId="0" fillId="4" borderId="0" xfId="0" applyFill="1"/>
    <xf numFmtId="164" fontId="0" fillId="4" borderId="0" xfId="0" applyNumberFormat="1" applyFill="1"/>
    <xf numFmtId="0" fontId="1" fillId="2" borderId="0" xfId="0" applyFont="1" applyFill="1" applyAlignment="1">
      <alignment horizontal="center" vertical="center"/>
    </xf>
    <xf numFmtId="0" fontId="2" fillId="4" borderId="0" xfId="0" applyFont="1" applyFill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Inventario" displayName="TablaInventario" ref="A3:F135" totalsRowShown="0">
  <autoFilter ref="A3:F135" xr:uid="{00000000-000C-0000-FFFF-FFFF00000000}"/>
  <sortState xmlns:xlrd2="http://schemas.microsoft.com/office/spreadsheetml/2017/richdata2" ref="A103:F118">
    <sortCondition ref="B103:B123"/>
  </sortState>
  <tableColumns count="6">
    <tableColumn id="1" xr3:uid="{00000000-0010-0000-0000-000001000000}" name="Categoría"/>
    <tableColumn id="2" xr3:uid="{00000000-0010-0000-0000-000002000000}" name="Producto"/>
    <tableColumn id="3" xr3:uid="{00000000-0010-0000-0000-000003000000}" name="Referencia / Descripción"/>
    <tableColumn id="4" xr3:uid="{00000000-0010-0000-0000-000004000000}" name="Cantidad"/>
    <tableColumn id="5" xr3:uid="{00000000-0010-0000-0000-000005000000}" name="Precio unitario"/>
    <tableColumn id="6" xr3:uid="{00000000-0010-0000-0000-000006000000}" name="Valor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topLeftCell="A114" workbookViewId="0">
      <selection activeCell="D132" sqref="D132"/>
    </sheetView>
  </sheetViews>
  <sheetFormatPr baseColWidth="10" defaultColWidth="8.796875" defaultRowHeight="13.8"/>
  <cols>
    <col min="1" max="1" width="16" customWidth="1"/>
    <col min="2" max="2" width="45.296875" customWidth="1"/>
    <col min="3" max="3" width="27.19921875" customWidth="1"/>
    <col min="4" max="4" width="12" customWidth="1"/>
    <col min="5" max="6" width="18" customWidth="1"/>
  </cols>
  <sheetData>
    <row r="1" spans="1:6" ht="22.35" customHeight="1">
      <c r="A1" s="10" t="s">
        <v>0</v>
      </c>
      <c r="B1" s="10"/>
      <c r="C1" s="10"/>
      <c r="D1" s="10"/>
      <c r="E1" s="10"/>
      <c r="F1" s="10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5" t="s">
        <v>168</v>
      </c>
      <c r="B4" s="5" t="s">
        <v>203</v>
      </c>
      <c r="C4" s="5" t="s">
        <v>204</v>
      </c>
      <c r="D4" s="3">
        <v>4</v>
      </c>
      <c r="E4" s="4">
        <v>88000</v>
      </c>
      <c r="F4" s="4">
        <f t="shared" ref="F4:F35" si="0">D4*E4</f>
        <v>352000</v>
      </c>
    </row>
    <row r="5" spans="1:6">
      <c r="A5" s="5" t="s">
        <v>168</v>
      </c>
      <c r="B5" s="5" t="s">
        <v>177</v>
      </c>
      <c r="C5" s="5" t="s">
        <v>178</v>
      </c>
      <c r="D5" s="3">
        <v>4</v>
      </c>
      <c r="E5" s="4">
        <v>100000</v>
      </c>
      <c r="F5" s="4">
        <f t="shared" si="0"/>
        <v>400000</v>
      </c>
    </row>
    <row r="6" spans="1:6">
      <c r="A6" s="5" t="s">
        <v>134</v>
      </c>
      <c r="B6" s="5" t="s">
        <v>155</v>
      </c>
      <c r="C6" s="5" t="s">
        <v>154</v>
      </c>
      <c r="D6" s="3">
        <v>14</v>
      </c>
      <c r="E6" s="4">
        <v>35000</v>
      </c>
      <c r="F6" s="4">
        <f t="shared" si="0"/>
        <v>490000</v>
      </c>
    </row>
    <row r="7" spans="1:6">
      <c r="A7" s="5" t="s">
        <v>123</v>
      </c>
      <c r="B7" s="5" t="s">
        <v>124</v>
      </c>
      <c r="C7" s="5" t="s">
        <v>123</v>
      </c>
      <c r="D7" s="3">
        <v>38</v>
      </c>
      <c r="E7" s="4">
        <v>30000</v>
      </c>
      <c r="F7" s="4">
        <f t="shared" si="0"/>
        <v>1140000</v>
      </c>
    </row>
    <row r="8" spans="1:6">
      <c r="A8" s="5" t="s">
        <v>7</v>
      </c>
      <c r="B8" s="5" t="s">
        <v>42</v>
      </c>
      <c r="C8" s="5" t="s">
        <v>43</v>
      </c>
      <c r="D8" s="3">
        <v>3</v>
      </c>
      <c r="E8" s="4">
        <v>195000</v>
      </c>
      <c r="F8" s="4">
        <f t="shared" si="0"/>
        <v>585000</v>
      </c>
    </row>
    <row r="9" spans="1:6">
      <c r="A9" s="5" t="s">
        <v>7</v>
      </c>
      <c r="B9" s="5" t="s">
        <v>48</v>
      </c>
      <c r="C9" s="5" t="s">
        <v>49</v>
      </c>
      <c r="D9" s="3">
        <v>8</v>
      </c>
      <c r="E9" s="4">
        <v>155000</v>
      </c>
      <c r="F9" s="4">
        <f t="shared" si="0"/>
        <v>1240000</v>
      </c>
    </row>
    <row r="10" spans="1:6">
      <c r="A10" s="5" t="s">
        <v>7</v>
      </c>
      <c r="B10" s="5" t="s">
        <v>44</v>
      </c>
      <c r="C10" s="5" t="s">
        <v>45</v>
      </c>
      <c r="D10" s="3">
        <v>10</v>
      </c>
      <c r="E10" s="4">
        <v>98000</v>
      </c>
      <c r="F10" s="4">
        <f t="shared" si="0"/>
        <v>980000</v>
      </c>
    </row>
    <row r="11" spans="1:6">
      <c r="A11" s="5" t="s">
        <v>7</v>
      </c>
      <c r="B11" s="5" t="s">
        <v>50</v>
      </c>
      <c r="C11" s="5" t="s">
        <v>51</v>
      </c>
      <c r="D11" s="3">
        <v>10</v>
      </c>
      <c r="E11" s="4">
        <v>190000</v>
      </c>
      <c r="F11" s="4">
        <f t="shared" si="0"/>
        <v>1900000</v>
      </c>
    </row>
    <row r="12" spans="1:6">
      <c r="A12" s="5" t="s">
        <v>7</v>
      </c>
      <c r="B12" s="5" t="s">
        <v>26</v>
      </c>
      <c r="C12" s="5" t="s">
        <v>27</v>
      </c>
      <c r="D12" s="3">
        <v>1</v>
      </c>
      <c r="E12" s="4">
        <v>120000</v>
      </c>
      <c r="F12" s="4">
        <f t="shared" si="0"/>
        <v>120000</v>
      </c>
    </row>
    <row r="13" spans="1:6">
      <c r="A13" s="5" t="s">
        <v>7</v>
      </c>
      <c r="B13" s="5" t="s">
        <v>18</v>
      </c>
      <c r="C13" s="5" t="s">
        <v>19</v>
      </c>
      <c r="D13" s="3">
        <v>8</v>
      </c>
      <c r="E13" s="4">
        <v>85000</v>
      </c>
      <c r="F13" s="4">
        <f t="shared" si="0"/>
        <v>680000</v>
      </c>
    </row>
    <row r="14" spans="1:6">
      <c r="A14" s="5" t="s">
        <v>7</v>
      </c>
      <c r="B14" s="5" t="s">
        <v>24</v>
      </c>
      <c r="C14" s="5" t="s">
        <v>25</v>
      </c>
      <c r="D14" s="3">
        <v>6</v>
      </c>
      <c r="E14" s="4">
        <v>165000</v>
      </c>
      <c r="F14" s="4">
        <f t="shared" si="0"/>
        <v>990000</v>
      </c>
    </row>
    <row r="15" spans="1:6">
      <c r="A15" s="5" t="s">
        <v>7</v>
      </c>
      <c r="B15" s="5" t="s">
        <v>22</v>
      </c>
      <c r="C15" s="5" t="s">
        <v>23</v>
      </c>
      <c r="D15" s="3">
        <v>2</v>
      </c>
      <c r="E15" s="4">
        <v>146000</v>
      </c>
      <c r="F15" s="4">
        <f t="shared" si="0"/>
        <v>292000</v>
      </c>
    </row>
    <row r="16" spans="1:6">
      <c r="A16" s="5" t="s">
        <v>7</v>
      </c>
      <c r="B16" s="5" t="s">
        <v>14</v>
      </c>
      <c r="C16" s="5" t="s">
        <v>15</v>
      </c>
      <c r="D16" s="3">
        <v>9</v>
      </c>
      <c r="E16" s="4">
        <v>130000</v>
      </c>
      <c r="F16" s="4">
        <f t="shared" si="0"/>
        <v>1170000</v>
      </c>
    </row>
    <row r="17" spans="1:6">
      <c r="A17" s="5" t="s">
        <v>7</v>
      </c>
      <c r="B17" s="5" t="s">
        <v>34</v>
      </c>
      <c r="C17" s="5" t="s">
        <v>35</v>
      </c>
      <c r="D17" s="3">
        <v>3</v>
      </c>
      <c r="E17" s="4">
        <v>68000</v>
      </c>
      <c r="F17" s="4">
        <f t="shared" si="0"/>
        <v>204000</v>
      </c>
    </row>
    <row r="18" spans="1:6">
      <c r="A18" s="5" t="s">
        <v>7</v>
      </c>
      <c r="B18" s="5" t="s">
        <v>46</v>
      </c>
      <c r="C18" s="5" t="s">
        <v>47</v>
      </c>
      <c r="D18" s="3">
        <v>1</v>
      </c>
      <c r="E18" s="4">
        <v>65000</v>
      </c>
      <c r="F18" s="4">
        <f t="shared" si="0"/>
        <v>65000</v>
      </c>
    </row>
    <row r="19" spans="1:6">
      <c r="A19" s="5" t="s">
        <v>7</v>
      </c>
      <c r="B19" s="5" t="s">
        <v>8</v>
      </c>
      <c r="C19" s="5" t="s">
        <v>9</v>
      </c>
      <c r="D19" s="3">
        <v>10</v>
      </c>
      <c r="E19" s="4">
        <v>95000</v>
      </c>
      <c r="F19" s="4">
        <f t="shared" si="0"/>
        <v>950000</v>
      </c>
    </row>
    <row r="20" spans="1:6">
      <c r="A20" s="5" t="s">
        <v>7</v>
      </c>
      <c r="B20" s="5" t="s">
        <v>32</v>
      </c>
      <c r="C20" s="5" t="s">
        <v>33</v>
      </c>
      <c r="D20" s="3">
        <v>6</v>
      </c>
      <c r="E20" s="4">
        <v>50000</v>
      </c>
      <c r="F20" s="4">
        <f t="shared" si="0"/>
        <v>300000</v>
      </c>
    </row>
    <row r="21" spans="1:6">
      <c r="A21" s="5" t="s">
        <v>7</v>
      </c>
      <c r="B21" s="5" t="s">
        <v>20</v>
      </c>
      <c r="C21" s="5" t="s">
        <v>21</v>
      </c>
      <c r="D21" s="3">
        <v>7</v>
      </c>
      <c r="E21" s="4">
        <v>190000</v>
      </c>
      <c r="F21" s="4">
        <f t="shared" si="0"/>
        <v>1330000</v>
      </c>
    </row>
    <row r="22" spans="1:6">
      <c r="A22" s="5" t="s">
        <v>7</v>
      </c>
      <c r="B22" s="5" t="s">
        <v>16</v>
      </c>
      <c r="C22" s="5" t="s">
        <v>17</v>
      </c>
      <c r="D22" s="3">
        <v>1</v>
      </c>
      <c r="E22" s="4">
        <v>130000</v>
      </c>
      <c r="F22" s="4">
        <f t="shared" si="0"/>
        <v>130000</v>
      </c>
    </row>
    <row r="23" spans="1:6">
      <c r="A23" s="5" t="s">
        <v>7</v>
      </c>
      <c r="B23" s="5" t="s">
        <v>16</v>
      </c>
      <c r="C23" s="5" t="s">
        <v>17</v>
      </c>
      <c r="D23" s="3">
        <v>8</v>
      </c>
      <c r="E23" s="4">
        <v>130000</v>
      </c>
      <c r="F23" s="4">
        <f t="shared" si="0"/>
        <v>1040000</v>
      </c>
    </row>
    <row r="24" spans="1:6">
      <c r="A24" s="5" t="s">
        <v>7</v>
      </c>
      <c r="B24" s="5" t="s">
        <v>40</v>
      </c>
      <c r="C24" s="5" t="s">
        <v>41</v>
      </c>
      <c r="D24" s="3">
        <v>1</v>
      </c>
      <c r="E24" s="4">
        <v>100000</v>
      </c>
      <c r="F24" s="4">
        <f t="shared" si="0"/>
        <v>100000</v>
      </c>
    </row>
    <row r="25" spans="1:6">
      <c r="A25" s="5" t="s">
        <v>7</v>
      </c>
      <c r="B25" s="5" t="s">
        <v>38</v>
      </c>
      <c r="C25" s="5" t="s">
        <v>39</v>
      </c>
      <c r="D25" s="3">
        <v>1</v>
      </c>
      <c r="E25" s="4">
        <v>90000</v>
      </c>
      <c r="F25" s="4">
        <f t="shared" si="0"/>
        <v>90000</v>
      </c>
    </row>
    <row r="26" spans="1:6">
      <c r="A26" s="5" t="s">
        <v>7</v>
      </c>
      <c r="B26" s="5" t="s">
        <v>12</v>
      </c>
      <c r="C26" s="5" t="s">
        <v>13</v>
      </c>
      <c r="D26" s="3">
        <v>9</v>
      </c>
      <c r="E26" s="4">
        <v>152000</v>
      </c>
      <c r="F26" s="4">
        <f t="shared" si="0"/>
        <v>1368000</v>
      </c>
    </row>
    <row r="27" spans="1:6">
      <c r="A27" s="5" t="s">
        <v>7</v>
      </c>
      <c r="B27" s="5" t="s">
        <v>30</v>
      </c>
      <c r="C27" s="5" t="s">
        <v>31</v>
      </c>
      <c r="D27" s="3">
        <v>5</v>
      </c>
      <c r="E27" s="4">
        <v>135000</v>
      </c>
      <c r="F27" s="4">
        <f t="shared" si="0"/>
        <v>675000</v>
      </c>
    </row>
    <row r="28" spans="1:6">
      <c r="A28" s="5" t="s">
        <v>7</v>
      </c>
      <c r="B28" s="5" t="s">
        <v>10</v>
      </c>
      <c r="C28" s="5" t="s">
        <v>11</v>
      </c>
      <c r="D28" s="3">
        <v>7</v>
      </c>
      <c r="E28" s="4">
        <v>115000</v>
      </c>
      <c r="F28" s="4">
        <f t="shared" si="0"/>
        <v>805000</v>
      </c>
    </row>
    <row r="29" spans="1:6">
      <c r="A29" s="5" t="s">
        <v>7</v>
      </c>
      <c r="B29" s="5" t="s">
        <v>28</v>
      </c>
      <c r="C29" s="5" t="s">
        <v>29</v>
      </c>
      <c r="D29" s="3">
        <v>5</v>
      </c>
      <c r="E29" s="4">
        <v>110000</v>
      </c>
      <c r="F29" s="4">
        <f t="shared" si="0"/>
        <v>550000</v>
      </c>
    </row>
    <row r="30" spans="1:6">
      <c r="A30" s="5" t="s">
        <v>7</v>
      </c>
      <c r="B30" s="5" t="s">
        <v>36</v>
      </c>
      <c r="C30" s="5" t="s">
        <v>37</v>
      </c>
      <c r="D30" s="3">
        <v>10</v>
      </c>
      <c r="E30" s="4">
        <v>85000</v>
      </c>
      <c r="F30" s="4">
        <f t="shared" si="0"/>
        <v>850000</v>
      </c>
    </row>
    <row r="31" spans="1:6">
      <c r="A31" s="5" t="s">
        <v>168</v>
      </c>
      <c r="B31" s="5" t="s">
        <v>202</v>
      </c>
      <c r="C31" s="5" t="s">
        <v>178</v>
      </c>
      <c r="D31" s="3">
        <v>6</v>
      </c>
      <c r="E31" s="4">
        <v>100000</v>
      </c>
      <c r="F31" s="4">
        <f t="shared" si="0"/>
        <v>600000</v>
      </c>
    </row>
    <row r="32" spans="1:6">
      <c r="A32" s="5" t="s">
        <v>52</v>
      </c>
      <c r="B32" s="5" t="s">
        <v>76</v>
      </c>
      <c r="C32" s="5" t="s">
        <v>77</v>
      </c>
      <c r="D32" s="3">
        <v>14</v>
      </c>
      <c r="E32" s="4">
        <v>50000</v>
      </c>
      <c r="F32" s="4">
        <f t="shared" si="0"/>
        <v>700000</v>
      </c>
    </row>
    <row r="33" spans="1:6">
      <c r="A33" s="5" t="s">
        <v>52</v>
      </c>
      <c r="B33" s="5" t="s">
        <v>222</v>
      </c>
      <c r="C33" s="5" t="s">
        <v>221</v>
      </c>
      <c r="D33" s="3">
        <v>27</v>
      </c>
      <c r="E33" s="4">
        <v>60000</v>
      </c>
      <c r="F33" s="4">
        <f t="shared" si="0"/>
        <v>1620000</v>
      </c>
    </row>
    <row r="34" spans="1:6">
      <c r="A34" s="5" t="s">
        <v>52</v>
      </c>
      <c r="B34" s="5" t="s">
        <v>71</v>
      </c>
      <c r="C34" s="5" t="s">
        <v>70</v>
      </c>
      <c r="D34" s="3">
        <v>6</v>
      </c>
      <c r="E34" s="4">
        <v>24000</v>
      </c>
      <c r="F34" s="4">
        <f t="shared" si="0"/>
        <v>144000</v>
      </c>
    </row>
    <row r="35" spans="1:6">
      <c r="A35" s="5" t="s">
        <v>52</v>
      </c>
      <c r="B35" s="5" t="s">
        <v>223</v>
      </c>
      <c r="C35" s="5" t="s">
        <v>224</v>
      </c>
      <c r="D35" s="3">
        <v>4</v>
      </c>
      <c r="E35" s="4">
        <v>98000</v>
      </c>
      <c r="F35" s="4">
        <f t="shared" si="0"/>
        <v>392000</v>
      </c>
    </row>
    <row r="36" spans="1:6">
      <c r="A36" s="5" t="s">
        <v>52</v>
      </c>
      <c r="B36" s="5" t="s">
        <v>72</v>
      </c>
      <c r="C36" s="5" t="s">
        <v>69</v>
      </c>
      <c r="D36" s="3">
        <v>15</v>
      </c>
      <c r="E36" s="4">
        <v>38000</v>
      </c>
      <c r="F36" s="4">
        <f t="shared" ref="F36:F67" si="1">D36*E36</f>
        <v>570000</v>
      </c>
    </row>
    <row r="37" spans="1:6">
      <c r="A37" s="5" t="s">
        <v>52</v>
      </c>
      <c r="B37" s="5" t="s">
        <v>55</v>
      </c>
      <c r="C37" s="5" t="s">
        <v>56</v>
      </c>
      <c r="D37" s="3">
        <v>6</v>
      </c>
      <c r="E37" s="4">
        <v>25000</v>
      </c>
      <c r="F37" s="4">
        <f t="shared" si="1"/>
        <v>150000</v>
      </c>
    </row>
    <row r="38" spans="1:6">
      <c r="A38" s="5" t="s">
        <v>52</v>
      </c>
      <c r="B38" s="5" t="s">
        <v>53</v>
      </c>
      <c r="C38" s="5" t="s">
        <v>54</v>
      </c>
      <c r="D38" s="3">
        <v>6</v>
      </c>
      <c r="E38" s="4">
        <v>20000</v>
      </c>
      <c r="F38" s="4">
        <f t="shared" si="1"/>
        <v>120000</v>
      </c>
    </row>
    <row r="39" spans="1:6">
      <c r="A39" s="5" t="s">
        <v>52</v>
      </c>
      <c r="B39" s="5" t="s">
        <v>180</v>
      </c>
      <c r="C39" s="5" t="s">
        <v>181</v>
      </c>
      <c r="D39" s="3">
        <v>3</v>
      </c>
      <c r="E39" s="4">
        <v>55000</v>
      </c>
      <c r="F39" s="4">
        <f t="shared" si="1"/>
        <v>165000</v>
      </c>
    </row>
    <row r="40" spans="1:6">
      <c r="A40" s="5" t="s">
        <v>52</v>
      </c>
      <c r="B40" s="5" t="s">
        <v>219</v>
      </c>
      <c r="C40" s="5" t="s">
        <v>220</v>
      </c>
      <c r="D40" s="3">
        <v>12</v>
      </c>
      <c r="E40" s="4">
        <v>50000</v>
      </c>
      <c r="F40" s="4">
        <f t="shared" si="1"/>
        <v>600000</v>
      </c>
    </row>
    <row r="41" spans="1:6">
      <c r="A41" s="5" t="s">
        <v>52</v>
      </c>
      <c r="B41" s="5" t="s">
        <v>80</v>
      </c>
      <c r="C41" s="5" t="s">
        <v>81</v>
      </c>
      <c r="D41" s="3">
        <v>8</v>
      </c>
      <c r="E41" s="4">
        <v>25000</v>
      </c>
      <c r="F41" s="4">
        <f t="shared" si="1"/>
        <v>200000</v>
      </c>
    </row>
    <row r="42" spans="1:6">
      <c r="A42" s="5" t="s">
        <v>52</v>
      </c>
      <c r="B42" s="5" t="s">
        <v>78</v>
      </c>
      <c r="C42" s="5" t="s">
        <v>79</v>
      </c>
      <c r="D42" s="3">
        <v>6</v>
      </c>
      <c r="E42" s="4">
        <v>44000</v>
      </c>
      <c r="F42" s="4">
        <f t="shared" si="1"/>
        <v>264000</v>
      </c>
    </row>
    <row r="43" spans="1:6">
      <c r="A43" s="5" t="s">
        <v>52</v>
      </c>
      <c r="B43" s="5" t="s">
        <v>57</v>
      </c>
      <c r="C43" s="5" t="s">
        <v>58</v>
      </c>
      <c r="D43" s="3">
        <v>14</v>
      </c>
      <c r="E43" s="4">
        <v>50000</v>
      </c>
      <c r="F43" s="4">
        <f t="shared" si="1"/>
        <v>700000</v>
      </c>
    </row>
    <row r="44" spans="1:6">
      <c r="A44" s="5" t="s">
        <v>52</v>
      </c>
      <c r="B44" s="5" t="s">
        <v>74</v>
      </c>
      <c r="C44" s="5" t="s">
        <v>75</v>
      </c>
      <c r="D44" s="3">
        <v>11</v>
      </c>
      <c r="E44" s="4">
        <v>30000</v>
      </c>
      <c r="F44" s="4">
        <f t="shared" si="1"/>
        <v>330000</v>
      </c>
    </row>
    <row r="45" spans="1:6">
      <c r="A45" s="5" t="s">
        <v>52</v>
      </c>
      <c r="B45" s="5" t="s">
        <v>73</v>
      </c>
      <c r="C45" s="5" t="s">
        <v>69</v>
      </c>
      <c r="D45" s="3">
        <v>21</v>
      </c>
      <c r="E45" s="4">
        <v>32000</v>
      </c>
      <c r="F45" s="4">
        <f t="shared" si="1"/>
        <v>672000</v>
      </c>
    </row>
    <row r="46" spans="1:6">
      <c r="A46" s="5" t="s">
        <v>52</v>
      </c>
      <c r="B46" s="5" t="s">
        <v>59</v>
      </c>
      <c r="C46" s="5" t="s">
        <v>60</v>
      </c>
      <c r="D46" s="3">
        <v>5</v>
      </c>
      <c r="E46" s="4">
        <v>28000</v>
      </c>
      <c r="F46" s="4">
        <f t="shared" si="1"/>
        <v>140000</v>
      </c>
    </row>
    <row r="47" spans="1:6">
      <c r="A47" s="5" t="s">
        <v>52</v>
      </c>
      <c r="B47" s="5" t="s">
        <v>61</v>
      </c>
      <c r="C47" s="5" t="s">
        <v>62</v>
      </c>
      <c r="D47" s="3">
        <v>14</v>
      </c>
      <c r="E47" s="4">
        <v>35000</v>
      </c>
      <c r="F47" s="4">
        <f t="shared" si="1"/>
        <v>490000</v>
      </c>
    </row>
    <row r="48" spans="1:6">
      <c r="A48" s="5" t="s">
        <v>208</v>
      </c>
      <c r="B48" s="5" t="s">
        <v>209</v>
      </c>
      <c r="C48" s="5" t="s">
        <v>208</v>
      </c>
      <c r="D48" s="3">
        <v>2</v>
      </c>
      <c r="E48" s="4">
        <v>52000</v>
      </c>
      <c r="F48" s="4">
        <f t="shared" si="1"/>
        <v>104000</v>
      </c>
    </row>
    <row r="49" spans="1:6">
      <c r="A49" s="5" t="s">
        <v>160</v>
      </c>
      <c r="B49" s="5" t="s">
        <v>161</v>
      </c>
      <c r="C49" s="5" t="s">
        <v>162</v>
      </c>
      <c r="D49" s="3">
        <v>1</v>
      </c>
      <c r="E49" s="4">
        <v>20000</v>
      </c>
      <c r="F49" s="4">
        <f t="shared" si="1"/>
        <v>20000</v>
      </c>
    </row>
    <row r="50" spans="1:6">
      <c r="A50" s="5" t="s">
        <v>160</v>
      </c>
      <c r="B50" s="5" t="s">
        <v>171</v>
      </c>
      <c r="C50" s="5" t="s">
        <v>170</v>
      </c>
      <c r="D50" s="3">
        <v>28</v>
      </c>
      <c r="E50" s="4">
        <v>15000</v>
      </c>
      <c r="F50" s="4">
        <f t="shared" si="1"/>
        <v>420000</v>
      </c>
    </row>
    <row r="51" spans="1:6">
      <c r="A51" s="5" t="s">
        <v>160</v>
      </c>
      <c r="B51" s="5" t="s">
        <v>174</v>
      </c>
      <c r="C51" s="5" t="s">
        <v>170</v>
      </c>
      <c r="D51" s="3">
        <v>6</v>
      </c>
      <c r="E51" s="4">
        <v>28000</v>
      </c>
      <c r="F51" s="4">
        <f t="shared" si="1"/>
        <v>168000</v>
      </c>
    </row>
    <row r="52" spans="1:6">
      <c r="A52" s="5" t="s">
        <v>134</v>
      </c>
      <c r="B52" s="5" t="s">
        <v>137</v>
      </c>
      <c r="C52" s="5" t="s">
        <v>138</v>
      </c>
      <c r="D52" s="3">
        <v>2</v>
      </c>
      <c r="E52" s="4">
        <v>24000</v>
      </c>
      <c r="F52" s="4">
        <f t="shared" si="1"/>
        <v>48000</v>
      </c>
    </row>
    <row r="53" spans="1:6">
      <c r="A53" s="5" t="s">
        <v>134</v>
      </c>
      <c r="B53" s="5" t="s">
        <v>142</v>
      </c>
      <c r="C53" s="5" t="s">
        <v>141</v>
      </c>
      <c r="D53" s="3">
        <v>1</v>
      </c>
      <c r="E53" s="4">
        <v>32000</v>
      </c>
      <c r="F53" s="4">
        <f t="shared" si="1"/>
        <v>32000</v>
      </c>
    </row>
    <row r="54" spans="1:6">
      <c r="A54" s="5" t="s">
        <v>134</v>
      </c>
      <c r="B54" s="5" t="s">
        <v>139</v>
      </c>
      <c r="C54" s="5" t="s">
        <v>140</v>
      </c>
      <c r="D54" s="3">
        <v>1</v>
      </c>
      <c r="E54" s="4">
        <v>28000</v>
      </c>
      <c r="F54" s="4">
        <f t="shared" si="1"/>
        <v>28000</v>
      </c>
    </row>
    <row r="55" spans="1:6">
      <c r="A55" s="5" t="s">
        <v>160</v>
      </c>
      <c r="B55" s="5" t="s">
        <v>163</v>
      </c>
      <c r="C55" s="5" t="s">
        <v>164</v>
      </c>
      <c r="D55" s="3">
        <v>1</v>
      </c>
      <c r="E55" s="4">
        <v>10000</v>
      </c>
      <c r="F55" s="4">
        <f t="shared" si="1"/>
        <v>10000</v>
      </c>
    </row>
    <row r="56" spans="1:6">
      <c r="A56" s="5" t="s">
        <v>168</v>
      </c>
      <c r="B56" s="5" t="s">
        <v>179</v>
      </c>
      <c r="C56" s="5" t="s">
        <v>178</v>
      </c>
      <c r="D56" s="3">
        <v>11</v>
      </c>
      <c r="E56" s="4">
        <v>94000</v>
      </c>
      <c r="F56" s="4">
        <f t="shared" si="1"/>
        <v>1034000</v>
      </c>
    </row>
    <row r="57" spans="1:6">
      <c r="A57" s="5" t="s">
        <v>160</v>
      </c>
      <c r="B57" s="5" t="s">
        <v>169</v>
      </c>
      <c r="C57" s="5" t="s">
        <v>170</v>
      </c>
      <c r="D57" s="3">
        <v>11</v>
      </c>
      <c r="E57" s="4">
        <v>55000</v>
      </c>
      <c r="F57" s="4">
        <f t="shared" si="1"/>
        <v>605000</v>
      </c>
    </row>
    <row r="58" spans="1:6">
      <c r="A58" s="5" t="s">
        <v>210</v>
      </c>
      <c r="B58" s="5" t="s">
        <v>211</v>
      </c>
      <c r="C58" s="5" t="s">
        <v>212</v>
      </c>
      <c r="D58" s="3">
        <v>4</v>
      </c>
      <c r="E58" s="4">
        <v>210000</v>
      </c>
      <c r="F58" s="4">
        <f t="shared" si="1"/>
        <v>840000</v>
      </c>
    </row>
    <row r="59" spans="1:6">
      <c r="A59" s="5" t="s">
        <v>210</v>
      </c>
      <c r="B59" s="5" t="s">
        <v>213</v>
      </c>
      <c r="C59" s="5" t="s">
        <v>214</v>
      </c>
      <c r="D59" s="3">
        <v>4</v>
      </c>
      <c r="E59" s="4">
        <v>165000</v>
      </c>
      <c r="F59" s="4">
        <f t="shared" si="1"/>
        <v>660000</v>
      </c>
    </row>
    <row r="60" spans="1:6">
      <c r="A60" s="5" t="s">
        <v>210</v>
      </c>
      <c r="B60" s="5" t="s">
        <v>217</v>
      </c>
      <c r="C60" s="5" t="s">
        <v>218</v>
      </c>
      <c r="D60" s="3">
        <v>2</v>
      </c>
      <c r="E60" s="4">
        <v>210000</v>
      </c>
      <c r="F60" s="4">
        <f t="shared" si="1"/>
        <v>420000</v>
      </c>
    </row>
    <row r="61" spans="1:6">
      <c r="A61" s="5" t="s">
        <v>210</v>
      </c>
      <c r="B61" s="5" t="s">
        <v>215</v>
      </c>
      <c r="C61" s="5" t="s">
        <v>216</v>
      </c>
      <c r="D61" s="3">
        <v>2</v>
      </c>
      <c r="E61" s="4">
        <v>140000</v>
      </c>
      <c r="F61" s="4">
        <f t="shared" si="1"/>
        <v>280000</v>
      </c>
    </row>
    <row r="62" spans="1:6">
      <c r="A62" s="5" t="s">
        <v>120</v>
      </c>
      <c r="B62" s="5" t="s">
        <v>121</v>
      </c>
      <c r="C62" s="5" t="s">
        <v>122</v>
      </c>
      <c r="D62" s="3">
        <v>4</v>
      </c>
      <c r="E62" s="4">
        <v>580000</v>
      </c>
      <c r="F62" s="4">
        <f t="shared" si="1"/>
        <v>2320000</v>
      </c>
    </row>
    <row r="63" spans="1:6">
      <c r="A63" s="5" t="s">
        <v>182</v>
      </c>
      <c r="B63" s="5" t="s">
        <v>197</v>
      </c>
      <c r="C63" s="5" t="s">
        <v>198</v>
      </c>
      <c r="D63" s="3">
        <v>1</v>
      </c>
      <c r="E63" s="4">
        <v>290000</v>
      </c>
      <c r="F63" s="4">
        <f t="shared" si="1"/>
        <v>290000</v>
      </c>
    </row>
    <row r="64" spans="1:6">
      <c r="A64" s="5" t="s">
        <v>182</v>
      </c>
      <c r="B64" s="5" t="s">
        <v>193</v>
      </c>
      <c r="C64" s="5" t="s">
        <v>194</v>
      </c>
      <c r="D64" s="3">
        <v>1</v>
      </c>
      <c r="E64" s="4">
        <v>324000</v>
      </c>
      <c r="F64" s="4">
        <f t="shared" si="1"/>
        <v>324000</v>
      </c>
    </row>
    <row r="65" spans="1:6">
      <c r="A65" s="5" t="s">
        <v>182</v>
      </c>
      <c r="B65" s="5" t="s">
        <v>195</v>
      </c>
      <c r="C65" s="5" t="s">
        <v>196</v>
      </c>
      <c r="D65" s="3">
        <v>2</v>
      </c>
      <c r="E65" s="4">
        <v>220000</v>
      </c>
      <c r="F65" s="4">
        <f t="shared" si="1"/>
        <v>440000</v>
      </c>
    </row>
    <row r="66" spans="1:6">
      <c r="A66" s="5" t="s">
        <v>182</v>
      </c>
      <c r="B66" s="5" t="s">
        <v>191</v>
      </c>
      <c r="C66" s="5" t="s">
        <v>192</v>
      </c>
      <c r="D66" s="3">
        <v>1</v>
      </c>
      <c r="E66" s="4">
        <v>300000</v>
      </c>
      <c r="F66" s="4">
        <f t="shared" si="1"/>
        <v>300000</v>
      </c>
    </row>
    <row r="67" spans="1:6">
      <c r="A67" s="5" t="s">
        <v>182</v>
      </c>
      <c r="B67" s="5" t="s">
        <v>190</v>
      </c>
      <c r="C67" s="5" t="s">
        <v>189</v>
      </c>
      <c r="D67" s="3">
        <v>1</v>
      </c>
      <c r="E67" s="4">
        <v>300000</v>
      </c>
      <c r="F67" s="4">
        <f t="shared" si="1"/>
        <v>300000</v>
      </c>
    </row>
    <row r="68" spans="1:6">
      <c r="A68" s="5" t="s">
        <v>182</v>
      </c>
      <c r="B68" s="5" t="s">
        <v>201</v>
      </c>
      <c r="C68" s="5" t="s">
        <v>183</v>
      </c>
      <c r="D68" s="3">
        <v>1</v>
      </c>
      <c r="E68" s="4">
        <v>135000</v>
      </c>
      <c r="F68" s="4">
        <f t="shared" ref="F68:F70" si="2">D68*E68</f>
        <v>135000</v>
      </c>
    </row>
    <row r="69" spans="1:6">
      <c r="A69" s="5" t="s">
        <v>182</v>
      </c>
      <c r="B69" s="5" t="s">
        <v>199</v>
      </c>
      <c r="C69" s="5" t="s">
        <v>183</v>
      </c>
      <c r="D69" s="3">
        <v>1</v>
      </c>
      <c r="E69" s="4">
        <v>180000</v>
      </c>
      <c r="F69" s="4">
        <f t="shared" si="2"/>
        <v>180000</v>
      </c>
    </row>
    <row r="70" spans="1:6">
      <c r="A70" s="5" t="s">
        <v>182</v>
      </c>
      <c r="B70" s="5" t="s">
        <v>200</v>
      </c>
      <c r="C70" s="5" t="s">
        <v>183</v>
      </c>
      <c r="D70" s="3">
        <v>1</v>
      </c>
      <c r="E70" s="4">
        <v>170000</v>
      </c>
      <c r="F70" s="4">
        <f t="shared" si="2"/>
        <v>170000</v>
      </c>
    </row>
    <row r="71" spans="1:6">
      <c r="A71" s="5" t="s">
        <v>182</v>
      </c>
      <c r="B71" s="5" t="s">
        <v>184</v>
      </c>
      <c r="C71" s="5" t="s">
        <v>183</v>
      </c>
      <c r="D71" s="3">
        <v>1</v>
      </c>
      <c r="E71" s="4">
        <v>260000</v>
      </c>
      <c r="F71" s="4">
        <f t="shared" ref="F71:F102" si="3">D71*E71</f>
        <v>260000</v>
      </c>
    </row>
    <row r="72" spans="1:6">
      <c r="A72" s="5" t="s">
        <v>182</v>
      </c>
      <c r="B72" s="5" t="s">
        <v>185</v>
      </c>
      <c r="C72" s="5" t="s">
        <v>186</v>
      </c>
      <c r="D72" s="3">
        <v>2</v>
      </c>
      <c r="E72" s="4">
        <v>320000</v>
      </c>
      <c r="F72" s="4">
        <f t="shared" si="3"/>
        <v>640000</v>
      </c>
    </row>
    <row r="73" spans="1:6">
      <c r="A73" s="5" t="s">
        <v>182</v>
      </c>
      <c r="B73" s="5" t="s">
        <v>187</v>
      </c>
      <c r="C73" s="5" t="s">
        <v>188</v>
      </c>
      <c r="D73" s="3">
        <v>1</v>
      </c>
      <c r="E73" s="4">
        <v>410000</v>
      </c>
      <c r="F73" s="4">
        <f t="shared" si="3"/>
        <v>410000</v>
      </c>
    </row>
    <row r="74" spans="1:6">
      <c r="A74" s="5" t="s">
        <v>100</v>
      </c>
      <c r="B74" s="5" t="s">
        <v>101</v>
      </c>
      <c r="C74" s="5" t="s">
        <v>102</v>
      </c>
      <c r="D74" s="3">
        <v>6</v>
      </c>
      <c r="E74" s="4">
        <v>95000</v>
      </c>
      <c r="F74" s="4">
        <f t="shared" si="3"/>
        <v>570000</v>
      </c>
    </row>
    <row r="75" spans="1:6">
      <c r="A75" s="5" t="s">
        <v>100</v>
      </c>
      <c r="B75" s="5" t="s">
        <v>116</v>
      </c>
      <c r="C75" s="5" t="s">
        <v>117</v>
      </c>
      <c r="D75" s="3">
        <v>38</v>
      </c>
      <c r="E75" s="4">
        <v>30000</v>
      </c>
      <c r="F75" s="4">
        <f t="shared" si="3"/>
        <v>1140000</v>
      </c>
    </row>
    <row r="76" spans="1:6">
      <c r="A76" s="5" t="s">
        <v>100</v>
      </c>
      <c r="B76" s="5" t="s">
        <v>119</v>
      </c>
      <c r="C76" s="5" t="s">
        <v>118</v>
      </c>
      <c r="D76" s="3">
        <v>23</v>
      </c>
      <c r="E76" s="4">
        <v>35000</v>
      </c>
      <c r="F76" s="4">
        <f t="shared" si="3"/>
        <v>805000</v>
      </c>
    </row>
    <row r="77" spans="1:6">
      <c r="A77" s="5" t="s">
        <v>134</v>
      </c>
      <c r="B77" s="5" t="s">
        <v>153</v>
      </c>
      <c r="C77" s="5" t="s">
        <v>149</v>
      </c>
      <c r="D77" s="3">
        <v>1</v>
      </c>
      <c r="E77" s="4">
        <v>20000</v>
      </c>
      <c r="F77" s="4">
        <f t="shared" si="3"/>
        <v>20000</v>
      </c>
    </row>
    <row r="78" spans="1:6">
      <c r="A78" s="5" t="s">
        <v>134</v>
      </c>
      <c r="B78" s="5" t="s">
        <v>150</v>
      </c>
      <c r="C78" s="5" t="s">
        <v>149</v>
      </c>
      <c r="D78" s="3">
        <v>1</v>
      </c>
      <c r="E78" s="4">
        <v>20000</v>
      </c>
      <c r="F78" s="4">
        <f t="shared" si="3"/>
        <v>20000</v>
      </c>
    </row>
    <row r="79" spans="1:6">
      <c r="A79" s="5" t="s">
        <v>134</v>
      </c>
      <c r="B79" s="5" t="s">
        <v>151</v>
      </c>
      <c r="C79" s="5" t="s">
        <v>149</v>
      </c>
      <c r="D79" s="3">
        <v>1</v>
      </c>
      <c r="E79" s="4">
        <v>20000</v>
      </c>
      <c r="F79" s="4">
        <f t="shared" si="3"/>
        <v>20000</v>
      </c>
    </row>
    <row r="80" spans="1:6">
      <c r="A80" s="5" t="s">
        <v>134</v>
      </c>
      <c r="B80" s="5" t="s">
        <v>152</v>
      </c>
      <c r="C80" s="5" t="s">
        <v>149</v>
      </c>
      <c r="D80" s="3">
        <v>2</v>
      </c>
      <c r="E80" s="4">
        <v>20000</v>
      </c>
      <c r="F80" s="4">
        <f t="shared" si="3"/>
        <v>40000</v>
      </c>
    </row>
    <row r="81" spans="1:6">
      <c r="A81" s="5" t="s">
        <v>134</v>
      </c>
      <c r="B81" s="5" t="s">
        <v>148</v>
      </c>
      <c r="C81" s="5" t="s">
        <v>149</v>
      </c>
      <c r="D81" s="3">
        <v>2</v>
      </c>
      <c r="E81" s="4">
        <v>20000</v>
      </c>
      <c r="F81" s="4">
        <f t="shared" si="3"/>
        <v>40000</v>
      </c>
    </row>
    <row r="82" spans="1:6">
      <c r="A82" s="5" t="s">
        <v>160</v>
      </c>
      <c r="B82" s="5" t="s">
        <v>165</v>
      </c>
      <c r="C82" s="5" t="s">
        <v>166</v>
      </c>
      <c r="D82" s="3">
        <v>3</v>
      </c>
      <c r="E82" s="4">
        <v>27000</v>
      </c>
      <c r="F82" s="4">
        <f t="shared" si="3"/>
        <v>81000</v>
      </c>
    </row>
    <row r="83" spans="1:6">
      <c r="A83" s="5" t="s">
        <v>160</v>
      </c>
      <c r="B83" s="5" t="s">
        <v>167</v>
      </c>
      <c r="C83" s="5" t="s">
        <v>166</v>
      </c>
      <c r="D83" s="3">
        <v>1</v>
      </c>
      <c r="E83" s="4">
        <v>19000</v>
      </c>
      <c r="F83" s="4">
        <f t="shared" si="3"/>
        <v>19000</v>
      </c>
    </row>
    <row r="84" spans="1:6">
      <c r="A84" s="5" t="s">
        <v>207</v>
      </c>
      <c r="B84" s="5" t="s">
        <v>205</v>
      </c>
      <c r="C84" s="5" t="s">
        <v>206</v>
      </c>
      <c r="D84" s="3">
        <v>21</v>
      </c>
      <c r="E84" s="4">
        <v>20000</v>
      </c>
      <c r="F84" s="4">
        <f t="shared" si="3"/>
        <v>420000</v>
      </c>
    </row>
    <row r="85" spans="1:6">
      <c r="A85" s="5" t="s">
        <v>103</v>
      </c>
      <c r="B85" s="5" t="s">
        <v>115</v>
      </c>
      <c r="C85" s="5" t="s">
        <v>104</v>
      </c>
      <c r="D85" s="3">
        <v>3</v>
      </c>
      <c r="E85" s="4">
        <v>65000</v>
      </c>
      <c r="F85" s="4">
        <f t="shared" si="3"/>
        <v>195000</v>
      </c>
    </row>
    <row r="86" spans="1:6">
      <c r="A86" s="5" t="s">
        <v>103</v>
      </c>
      <c r="B86" s="5" t="s">
        <v>114</v>
      </c>
      <c r="C86" s="5" t="s">
        <v>104</v>
      </c>
      <c r="D86" s="3">
        <v>2</v>
      </c>
      <c r="E86" s="4">
        <v>65000</v>
      </c>
      <c r="F86" s="4">
        <f t="shared" si="3"/>
        <v>130000</v>
      </c>
    </row>
    <row r="87" spans="1:6">
      <c r="A87" s="5" t="s">
        <v>103</v>
      </c>
      <c r="B87" s="5" t="s">
        <v>109</v>
      </c>
      <c r="C87" s="5" t="s">
        <v>110</v>
      </c>
      <c r="D87" s="3">
        <v>150</v>
      </c>
      <c r="E87" s="4">
        <v>10000</v>
      </c>
      <c r="F87" s="4">
        <f t="shared" si="3"/>
        <v>1500000</v>
      </c>
    </row>
    <row r="88" spans="1:6">
      <c r="A88" s="5" t="s">
        <v>103</v>
      </c>
      <c r="B88" s="5" t="s">
        <v>113</v>
      </c>
      <c r="C88" s="5" t="s">
        <v>112</v>
      </c>
      <c r="D88" s="3">
        <v>50</v>
      </c>
      <c r="E88" s="4">
        <v>10000</v>
      </c>
      <c r="F88" s="4">
        <f t="shared" si="3"/>
        <v>500000</v>
      </c>
    </row>
    <row r="89" spans="1:6">
      <c r="A89" s="5" t="s">
        <v>103</v>
      </c>
      <c r="B89" s="5" t="s">
        <v>111</v>
      </c>
      <c r="C89" s="5" t="s">
        <v>112</v>
      </c>
      <c r="D89" s="3">
        <v>4</v>
      </c>
      <c r="E89" s="4">
        <v>8000</v>
      </c>
      <c r="F89" s="4">
        <f t="shared" si="3"/>
        <v>32000</v>
      </c>
    </row>
    <row r="90" spans="1:6">
      <c r="A90" s="5" t="s">
        <v>103</v>
      </c>
      <c r="B90" s="5" t="s">
        <v>107</v>
      </c>
      <c r="C90" s="5" t="s">
        <v>108</v>
      </c>
      <c r="D90" s="3">
        <v>29</v>
      </c>
      <c r="E90" s="4">
        <v>10000</v>
      </c>
      <c r="F90" s="4">
        <f t="shared" si="3"/>
        <v>290000</v>
      </c>
    </row>
    <row r="91" spans="1:6">
      <c r="A91" s="5" t="s">
        <v>103</v>
      </c>
      <c r="B91" s="5" t="s">
        <v>106</v>
      </c>
      <c r="C91" s="5" t="s">
        <v>105</v>
      </c>
      <c r="D91" s="3">
        <v>208</v>
      </c>
      <c r="E91" s="4">
        <v>8000</v>
      </c>
      <c r="F91" s="4">
        <f t="shared" si="3"/>
        <v>1664000</v>
      </c>
    </row>
    <row r="92" spans="1:6">
      <c r="A92" s="5" t="s">
        <v>134</v>
      </c>
      <c r="B92" s="5" t="s">
        <v>143</v>
      </c>
      <c r="C92" s="5" t="s">
        <v>144</v>
      </c>
      <c r="D92" s="3">
        <v>4</v>
      </c>
      <c r="E92" s="4">
        <v>20000</v>
      </c>
      <c r="F92" s="4">
        <f t="shared" si="3"/>
        <v>80000</v>
      </c>
    </row>
    <row r="93" spans="1:6">
      <c r="A93" s="5" t="s">
        <v>134</v>
      </c>
      <c r="B93" s="5" t="s">
        <v>147</v>
      </c>
      <c r="C93" s="5" t="s">
        <v>144</v>
      </c>
      <c r="D93" s="3">
        <v>1</v>
      </c>
      <c r="E93" s="4">
        <v>15000</v>
      </c>
      <c r="F93" s="4">
        <f t="shared" si="3"/>
        <v>15000</v>
      </c>
    </row>
    <row r="94" spans="1:6">
      <c r="A94" s="5" t="s">
        <v>134</v>
      </c>
      <c r="B94" s="5" t="s">
        <v>146</v>
      </c>
      <c r="C94" s="5" t="s">
        <v>144</v>
      </c>
      <c r="D94" s="3">
        <v>5</v>
      </c>
      <c r="E94" s="4">
        <v>15000</v>
      </c>
      <c r="F94" s="4">
        <f t="shared" si="3"/>
        <v>75000</v>
      </c>
    </row>
    <row r="95" spans="1:6">
      <c r="A95" s="5" t="s">
        <v>134</v>
      </c>
      <c r="B95" s="5" t="s">
        <v>145</v>
      </c>
      <c r="C95" s="5" t="s">
        <v>144</v>
      </c>
      <c r="D95" s="3">
        <v>5</v>
      </c>
      <c r="E95" s="4">
        <v>15000</v>
      </c>
      <c r="F95" s="4">
        <f t="shared" si="3"/>
        <v>75000</v>
      </c>
    </row>
    <row r="96" spans="1:6">
      <c r="A96" s="5" t="s">
        <v>134</v>
      </c>
      <c r="B96" s="5" t="s">
        <v>158</v>
      </c>
      <c r="C96" s="5" t="s">
        <v>159</v>
      </c>
      <c r="D96" s="3">
        <v>2</v>
      </c>
      <c r="E96" s="4">
        <v>30000</v>
      </c>
      <c r="F96" s="4">
        <f t="shared" si="3"/>
        <v>60000</v>
      </c>
    </row>
    <row r="97" spans="1:6">
      <c r="A97" s="5" t="s">
        <v>134</v>
      </c>
      <c r="B97" s="5" t="s">
        <v>128</v>
      </c>
      <c r="C97" s="5" t="s">
        <v>126</v>
      </c>
      <c r="D97" s="3">
        <v>6</v>
      </c>
      <c r="E97" s="4">
        <v>50000</v>
      </c>
      <c r="F97" s="4">
        <f t="shared" si="3"/>
        <v>300000</v>
      </c>
    </row>
    <row r="98" spans="1:6">
      <c r="A98" s="5" t="s">
        <v>134</v>
      </c>
      <c r="B98" s="5" t="s">
        <v>127</v>
      </c>
      <c r="C98" s="5" t="s">
        <v>125</v>
      </c>
      <c r="D98" s="3">
        <v>10</v>
      </c>
      <c r="E98" s="4">
        <v>45000</v>
      </c>
      <c r="F98" s="4">
        <f t="shared" si="3"/>
        <v>450000</v>
      </c>
    </row>
    <row r="99" spans="1:6">
      <c r="A99" s="5" t="s">
        <v>134</v>
      </c>
      <c r="B99" s="5" t="s">
        <v>129</v>
      </c>
      <c r="C99" s="5" t="s">
        <v>130</v>
      </c>
      <c r="D99" s="3">
        <v>9</v>
      </c>
      <c r="E99" s="4">
        <v>24000</v>
      </c>
      <c r="F99" s="4">
        <f t="shared" si="3"/>
        <v>216000</v>
      </c>
    </row>
    <row r="100" spans="1:6">
      <c r="A100" s="5" t="s">
        <v>134</v>
      </c>
      <c r="B100" s="5" t="s">
        <v>132</v>
      </c>
      <c r="C100" s="5" t="s">
        <v>133</v>
      </c>
      <c r="D100" s="3">
        <v>4</v>
      </c>
      <c r="E100" s="4">
        <v>28000</v>
      </c>
      <c r="F100" s="4">
        <f t="shared" si="3"/>
        <v>112000</v>
      </c>
    </row>
    <row r="101" spans="1:6">
      <c r="A101" s="5" t="s">
        <v>134</v>
      </c>
      <c r="B101" s="5" t="s">
        <v>131</v>
      </c>
      <c r="C101" s="5" t="s">
        <v>133</v>
      </c>
      <c r="D101" s="3">
        <v>5</v>
      </c>
      <c r="E101" s="4">
        <v>28000</v>
      </c>
      <c r="F101" s="4">
        <f t="shared" si="3"/>
        <v>140000</v>
      </c>
    </row>
    <row r="102" spans="1:6">
      <c r="A102" s="5" t="s">
        <v>134</v>
      </c>
      <c r="B102" s="5" t="s">
        <v>156</v>
      </c>
      <c r="C102" s="5" t="s">
        <v>157</v>
      </c>
      <c r="D102" s="3">
        <v>2</v>
      </c>
      <c r="E102" s="4">
        <v>45000</v>
      </c>
      <c r="F102" s="4">
        <f t="shared" si="3"/>
        <v>90000</v>
      </c>
    </row>
    <row r="103" spans="1:6">
      <c r="A103" s="5" t="s">
        <v>82</v>
      </c>
      <c r="B103" s="5" t="s">
        <v>93</v>
      </c>
      <c r="C103" s="5" t="s">
        <v>83</v>
      </c>
      <c r="D103" s="3">
        <v>2</v>
      </c>
      <c r="E103" s="4">
        <v>120000</v>
      </c>
      <c r="F103" s="4">
        <f t="shared" ref="F103:F118" si="4">D103*E103</f>
        <v>240000</v>
      </c>
    </row>
    <row r="104" spans="1:6">
      <c r="A104" s="5" t="s">
        <v>82</v>
      </c>
      <c r="B104" s="5" t="s">
        <v>94</v>
      </c>
      <c r="C104" s="5" t="s">
        <v>83</v>
      </c>
      <c r="D104" s="3">
        <v>3</v>
      </c>
      <c r="E104" s="4">
        <v>130000</v>
      </c>
      <c r="F104" s="4">
        <f t="shared" si="4"/>
        <v>390000</v>
      </c>
    </row>
    <row r="105" spans="1:6">
      <c r="A105" s="5" t="s">
        <v>82</v>
      </c>
      <c r="B105" s="5" t="s">
        <v>92</v>
      </c>
      <c r="C105" s="5" t="s">
        <v>83</v>
      </c>
      <c r="D105" s="3">
        <v>3</v>
      </c>
      <c r="E105" s="4">
        <v>120000</v>
      </c>
      <c r="F105" s="4">
        <f t="shared" si="4"/>
        <v>360000</v>
      </c>
    </row>
    <row r="106" spans="1:6">
      <c r="A106" s="5" t="s">
        <v>82</v>
      </c>
      <c r="B106" s="5" t="s">
        <v>96</v>
      </c>
      <c r="C106" s="5" t="s">
        <v>83</v>
      </c>
      <c r="D106" s="3">
        <v>3</v>
      </c>
      <c r="E106" s="4">
        <v>110000</v>
      </c>
      <c r="F106" s="4">
        <f t="shared" si="4"/>
        <v>330000</v>
      </c>
    </row>
    <row r="107" spans="1:6">
      <c r="A107" s="5" t="s">
        <v>82</v>
      </c>
      <c r="B107" s="5" t="s">
        <v>95</v>
      </c>
      <c r="C107" s="5" t="s">
        <v>83</v>
      </c>
      <c r="D107" s="3">
        <v>1</v>
      </c>
      <c r="E107" s="4">
        <v>154000</v>
      </c>
      <c r="F107" s="4">
        <f t="shared" si="4"/>
        <v>154000</v>
      </c>
    </row>
    <row r="108" spans="1:6">
      <c r="A108" s="5" t="s">
        <v>82</v>
      </c>
      <c r="B108" s="5" t="s">
        <v>99</v>
      </c>
      <c r="C108" s="5" t="s">
        <v>83</v>
      </c>
      <c r="D108" s="3">
        <v>5</v>
      </c>
      <c r="E108" s="4">
        <v>82000</v>
      </c>
      <c r="F108" s="4">
        <f t="shared" si="4"/>
        <v>410000</v>
      </c>
    </row>
    <row r="109" spans="1:6">
      <c r="A109" s="5" t="s">
        <v>82</v>
      </c>
      <c r="B109" s="5" t="s">
        <v>98</v>
      </c>
      <c r="C109" s="5" t="s">
        <v>83</v>
      </c>
      <c r="D109" s="3">
        <v>2</v>
      </c>
      <c r="E109" s="4">
        <v>82000</v>
      </c>
      <c r="F109" s="4">
        <f t="shared" si="4"/>
        <v>164000</v>
      </c>
    </row>
    <row r="110" spans="1:6">
      <c r="A110" s="5" t="s">
        <v>82</v>
      </c>
      <c r="B110" s="5" t="s">
        <v>88</v>
      </c>
      <c r="C110" s="5" t="s">
        <v>83</v>
      </c>
      <c r="D110" s="3">
        <v>0</v>
      </c>
      <c r="E110" s="4">
        <v>140000</v>
      </c>
      <c r="F110" s="4">
        <f t="shared" si="4"/>
        <v>0</v>
      </c>
    </row>
    <row r="111" spans="1:6">
      <c r="A111" s="5" t="s">
        <v>82</v>
      </c>
      <c r="B111" s="5" t="s">
        <v>86</v>
      </c>
      <c r="C111" s="5" t="s">
        <v>83</v>
      </c>
      <c r="D111" s="3">
        <v>4</v>
      </c>
      <c r="E111" s="4">
        <v>150000</v>
      </c>
      <c r="F111" s="4">
        <f t="shared" si="4"/>
        <v>600000</v>
      </c>
    </row>
    <row r="112" spans="1:6">
      <c r="A112" s="5" t="s">
        <v>82</v>
      </c>
      <c r="B112" s="5" t="s">
        <v>97</v>
      </c>
      <c r="C112" s="5" t="s">
        <v>83</v>
      </c>
      <c r="D112" s="3">
        <v>6</v>
      </c>
      <c r="E112" s="4">
        <v>140000</v>
      </c>
      <c r="F112" s="4">
        <f t="shared" si="4"/>
        <v>840000</v>
      </c>
    </row>
    <row r="113" spans="1:6">
      <c r="A113" s="5" t="s">
        <v>82</v>
      </c>
      <c r="B113" s="5" t="s">
        <v>91</v>
      </c>
      <c r="C113" s="5" t="s">
        <v>83</v>
      </c>
      <c r="D113" s="3">
        <v>4</v>
      </c>
      <c r="E113" s="4">
        <v>140000</v>
      </c>
      <c r="F113" s="4">
        <f t="shared" si="4"/>
        <v>560000</v>
      </c>
    </row>
    <row r="114" spans="1:6">
      <c r="A114" s="5" t="s">
        <v>82</v>
      </c>
      <c r="B114" s="5" t="s">
        <v>90</v>
      </c>
      <c r="C114" s="5" t="s">
        <v>83</v>
      </c>
      <c r="D114" s="3">
        <v>3</v>
      </c>
      <c r="E114" s="4">
        <v>162000</v>
      </c>
      <c r="F114" s="4">
        <f t="shared" si="4"/>
        <v>486000</v>
      </c>
    </row>
    <row r="115" spans="1:6">
      <c r="A115" s="5" t="s">
        <v>82</v>
      </c>
      <c r="B115" s="5" t="s">
        <v>84</v>
      </c>
      <c r="C115" s="5" t="s">
        <v>83</v>
      </c>
      <c r="D115" s="3">
        <v>4</v>
      </c>
      <c r="E115" s="4">
        <v>62000</v>
      </c>
      <c r="F115" s="4">
        <f t="shared" si="4"/>
        <v>248000</v>
      </c>
    </row>
    <row r="116" spans="1:6">
      <c r="A116" s="5" t="s">
        <v>82</v>
      </c>
      <c r="B116" s="5" t="s">
        <v>89</v>
      </c>
      <c r="C116" s="5" t="s">
        <v>83</v>
      </c>
      <c r="D116" s="3">
        <v>1</v>
      </c>
      <c r="E116" s="4">
        <v>124000</v>
      </c>
      <c r="F116" s="4">
        <f t="shared" si="4"/>
        <v>124000</v>
      </c>
    </row>
    <row r="117" spans="1:6">
      <c r="A117" s="5" t="s">
        <v>82</v>
      </c>
      <c r="B117" s="5" t="s">
        <v>85</v>
      </c>
      <c r="C117" s="5" t="s">
        <v>83</v>
      </c>
      <c r="D117" s="3">
        <v>4</v>
      </c>
      <c r="E117" s="4">
        <v>130000</v>
      </c>
      <c r="F117" s="4">
        <f t="shared" si="4"/>
        <v>520000</v>
      </c>
    </row>
    <row r="118" spans="1:6">
      <c r="A118" s="5" t="s">
        <v>82</v>
      </c>
      <c r="B118" s="5" t="s">
        <v>87</v>
      </c>
      <c r="C118" s="5" t="s">
        <v>83</v>
      </c>
      <c r="D118" s="3">
        <v>5</v>
      </c>
      <c r="E118" s="4">
        <v>140000</v>
      </c>
      <c r="F118" s="4">
        <f t="shared" si="4"/>
        <v>700000</v>
      </c>
    </row>
    <row r="119" spans="1:6">
      <c r="A119" s="5" t="s">
        <v>134</v>
      </c>
      <c r="B119" s="5" t="s">
        <v>136</v>
      </c>
      <c r="C119" s="5" t="s">
        <v>136</v>
      </c>
      <c r="D119" s="3">
        <v>1</v>
      </c>
      <c r="E119" s="4">
        <v>110000</v>
      </c>
      <c r="F119" s="4">
        <f t="shared" ref="F119:F135" si="5">D119*E119</f>
        <v>110000</v>
      </c>
    </row>
    <row r="120" spans="1:6">
      <c r="A120" s="5" t="s">
        <v>134</v>
      </c>
      <c r="B120" s="5" t="s">
        <v>135</v>
      </c>
      <c r="C120" s="5" t="s">
        <v>135</v>
      </c>
      <c r="D120" s="3">
        <v>1</v>
      </c>
      <c r="E120" s="4">
        <v>100000</v>
      </c>
      <c r="F120" s="4">
        <f t="shared" si="5"/>
        <v>100000</v>
      </c>
    </row>
    <row r="121" spans="1:6">
      <c r="A121" s="5" t="s">
        <v>168</v>
      </c>
      <c r="B121" s="5" t="s">
        <v>175</v>
      </c>
      <c r="C121" s="5" t="s">
        <v>173</v>
      </c>
      <c r="D121" s="3">
        <v>22</v>
      </c>
      <c r="E121" s="4">
        <v>30000</v>
      </c>
      <c r="F121" s="4">
        <f t="shared" si="5"/>
        <v>660000</v>
      </c>
    </row>
    <row r="122" spans="1:6">
      <c r="A122" s="5" t="s">
        <v>168</v>
      </c>
      <c r="B122" s="5" t="s">
        <v>176</v>
      </c>
      <c r="C122" s="5" t="s">
        <v>172</v>
      </c>
      <c r="D122" s="3">
        <v>14</v>
      </c>
      <c r="E122" s="4">
        <v>28000</v>
      </c>
      <c r="F122" s="4">
        <f t="shared" si="5"/>
        <v>392000</v>
      </c>
    </row>
    <row r="123" spans="1:6">
      <c r="A123" s="5" t="s">
        <v>210</v>
      </c>
      <c r="B123" s="5" t="s">
        <v>225</v>
      </c>
      <c r="C123" s="5" t="s">
        <v>226</v>
      </c>
      <c r="D123" s="3">
        <v>3</v>
      </c>
      <c r="E123" s="4">
        <v>70000</v>
      </c>
      <c r="F123" s="4">
        <f t="shared" si="5"/>
        <v>210000</v>
      </c>
    </row>
    <row r="124" spans="1:6">
      <c r="A124" s="5" t="s">
        <v>210</v>
      </c>
      <c r="B124" s="5" t="s">
        <v>227</v>
      </c>
      <c r="C124" s="5" t="s">
        <v>228</v>
      </c>
      <c r="D124" s="3">
        <v>1</v>
      </c>
      <c r="E124" s="4">
        <v>75000</v>
      </c>
      <c r="F124" s="4">
        <f t="shared" si="5"/>
        <v>75000</v>
      </c>
    </row>
    <row r="125" spans="1:6">
      <c r="A125" s="5" t="s">
        <v>210</v>
      </c>
      <c r="B125" s="5" t="s">
        <v>229</v>
      </c>
      <c r="C125" s="5" t="s">
        <v>229</v>
      </c>
      <c r="D125" s="3">
        <v>3</v>
      </c>
      <c r="E125" s="4">
        <v>60000</v>
      </c>
      <c r="F125" s="4">
        <f t="shared" si="5"/>
        <v>180000</v>
      </c>
    </row>
    <row r="126" spans="1:6">
      <c r="A126" s="5" t="s">
        <v>210</v>
      </c>
      <c r="B126" s="5" t="s">
        <v>238</v>
      </c>
      <c r="C126" s="5" t="s">
        <v>230</v>
      </c>
      <c r="D126" s="3">
        <v>3</v>
      </c>
      <c r="E126" s="4">
        <v>38000</v>
      </c>
      <c r="F126" s="4">
        <f t="shared" si="5"/>
        <v>114000</v>
      </c>
    </row>
    <row r="127" spans="1:6">
      <c r="A127" s="5" t="s">
        <v>210</v>
      </c>
      <c r="B127" s="5" t="s">
        <v>231</v>
      </c>
      <c r="C127" s="5" t="s">
        <v>232</v>
      </c>
      <c r="D127" s="3">
        <v>2</v>
      </c>
      <c r="E127" s="4">
        <v>50000</v>
      </c>
      <c r="F127" s="4">
        <f t="shared" si="5"/>
        <v>100000</v>
      </c>
    </row>
    <row r="128" spans="1:6">
      <c r="A128" s="5" t="s">
        <v>210</v>
      </c>
      <c r="B128" s="5" t="s">
        <v>233</v>
      </c>
      <c r="C128" s="5" t="s">
        <v>234</v>
      </c>
      <c r="D128" s="3">
        <v>4</v>
      </c>
      <c r="E128" s="4">
        <v>160000</v>
      </c>
      <c r="F128" s="4">
        <f t="shared" si="5"/>
        <v>640000</v>
      </c>
    </row>
    <row r="129" spans="1:6">
      <c r="A129" s="5" t="s">
        <v>210</v>
      </c>
      <c r="B129" s="5" t="s">
        <v>235</v>
      </c>
      <c r="C129" s="5" t="s">
        <v>236</v>
      </c>
      <c r="D129" s="3">
        <v>2</v>
      </c>
      <c r="E129" s="4">
        <v>50000</v>
      </c>
      <c r="F129" s="4">
        <f t="shared" si="5"/>
        <v>100000</v>
      </c>
    </row>
    <row r="130" spans="1:6">
      <c r="A130" s="5" t="s">
        <v>210</v>
      </c>
      <c r="B130" s="5" t="s">
        <v>239</v>
      </c>
      <c r="C130" s="5" t="s">
        <v>237</v>
      </c>
      <c r="D130" s="3">
        <v>4</v>
      </c>
      <c r="E130" s="4">
        <v>40000</v>
      </c>
      <c r="F130" s="4">
        <f t="shared" si="5"/>
        <v>160000</v>
      </c>
    </row>
    <row r="131" spans="1:6">
      <c r="A131" s="5" t="s">
        <v>210</v>
      </c>
      <c r="B131" s="5" t="s">
        <v>240</v>
      </c>
      <c r="C131" s="5" t="s">
        <v>241</v>
      </c>
      <c r="D131" s="3">
        <v>3</v>
      </c>
      <c r="E131" s="4">
        <v>50000</v>
      </c>
      <c r="F131" s="4">
        <f t="shared" si="5"/>
        <v>150000</v>
      </c>
    </row>
    <row r="132" spans="1:6">
      <c r="A132" s="5" t="s">
        <v>210</v>
      </c>
      <c r="B132" s="5" t="s">
        <v>242</v>
      </c>
      <c r="C132" s="5" t="s">
        <v>243</v>
      </c>
      <c r="D132" s="3">
        <v>4</v>
      </c>
      <c r="E132" s="4">
        <v>65000</v>
      </c>
      <c r="F132" s="4">
        <f t="shared" si="5"/>
        <v>260000</v>
      </c>
    </row>
    <row r="133" spans="1:6">
      <c r="A133" s="5" t="s">
        <v>210</v>
      </c>
      <c r="B133" s="5" t="s">
        <v>244</v>
      </c>
      <c r="C133" s="5" t="s">
        <v>245</v>
      </c>
      <c r="D133" s="3">
        <v>8</v>
      </c>
      <c r="E133" s="4">
        <v>30000</v>
      </c>
      <c r="F133" s="4">
        <f t="shared" si="5"/>
        <v>240000</v>
      </c>
    </row>
    <row r="134" spans="1:6">
      <c r="A134" s="5" t="s">
        <v>210</v>
      </c>
      <c r="B134" s="5" t="s">
        <v>246</v>
      </c>
      <c r="C134" s="5" t="s">
        <v>247</v>
      </c>
      <c r="D134" s="3">
        <v>3</v>
      </c>
      <c r="E134" s="4">
        <v>30000</v>
      </c>
      <c r="F134" s="4">
        <f t="shared" si="5"/>
        <v>90000</v>
      </c>
    </row>
    <row r="135" spans="1:6">
      <c r="A135" s="5" t="s">
        <v>210</v>
      </c>
      <c r="B135" s="5" t="s">
        <v>248</v>
      </c>
      <c r="C135" s="5" t="s">
        <v>249</v>
      </c>
      <c r="D135" s="3">
        <v>5</v>
      </c>
      <c r="E135" s="4">
        <v>45000</v>
      </c>
      <c r="F135" s="4">
        <f t="shared" si="5"/>
        <v>225000</v>
      </c>
    </row>
    <row r="137" spans="1:6">
      <c r="A137" s="11" t="s">
        <v>63</v>
      </c>
      <c r="B137" s="11"/>
      <c r="C137" s="11"/>
      <c r="D137" s="8">
        <f>SUM(D4:D135)</f>
        <v>1193</v>
      </c>
      <c r="E137" s="6"/>
      <c r="F137" s="9">
        <f>SUM(F4:F135)</f>
        <v>56122000</v>
      </c>
    </row>
  </sheetData>
  <mergeCells count="2">
    <mergeCell ref="A1:F1"/>
    <mergeCell ref="A137:C13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B6" sqref="B6"/>
    </sheetView>
  </sheetViews>
  <sheetFormatPr baseColWidth="10" defaultColWidth="8.796875" defaultRowHeight="13.8"/>
  <cols>
    <col min="1" max="4" width="22" customWidth="1"/>
  </cols>
  <sheetData>
    <row r="1" spans="1:4" ht="19.2">
      <c r="A1" s="12" t="s">
        <v>64</v>
      </c>
      <c r="B1" s="12"/>
      <c r="C1" s="12"/>
      <c r="D1" s="12"/>
    </row>
    <row r="3" spans="1:4">
      <c r="A3" s="1" t="s">
        <v>1</v>
      </c>
      <c r="B3" s="1" t="s">
        <v>65</v>
      </c>
      <c r="C3" s="1" t="s">
        <v>66</v>
      </c>
      <c r="D3" s="1" t="s">
        <v>67</v>
      </c>
    </row>
    <row r="4" spans="1:4">
      <c r="A4" t="s">
        <v>7</v>
      </c>
      <c r="B4">
        <f>SUMIF(Inventario!A4:A135,A4,Inventario!D4:D135)</f>
        <v>131</v>
      </c>
      <c r="C4" s="4">
        <f>SUMIF(Inventario!A4:A135,A4,Inventario!F4:F135)</f>
        <v>16414000</v>
      </c>
      <c r="D4">
        <f>COUNTIF(Inventario!A4:A135,A4)</f>
        <v>23</v>
      </c>
    </row>
    <row r="5" spans="1:4">
      <c r="A5" t="s">
        <v>52</v>
      </c>
      <c r="B5">
        <f>SUMIF(Inventario!A4:A135,A5,Inventario!D4:D135)</f>
        <v>172</v>
      </c>
      <c r="C5" s="4">
        <f>SUMIF(Inventario!A4:A135,A5,Inventario!F4:F135)</f>
        <v>7257000</v>
      </c>
      <c r="D5">
        <f>COUNTIF(Inventario!A4:A135,A5)</f>
        <v>16</v>
      </c>
    </row>
    <row r="6" spans="1:4">
      <c r="C6" s="4"/>
    </row>
    <row r="7" spans="1:4">
      <c r="C7" s="4"/>
    </row>
    <row r="8" spans="1:4">
      <c r="C8" s="4"/>
    </row>
    <row r="9" spans="1:4">
      <c r="C9" s="4"/>
    </row>
    <row r="10" spans="1:4">
      <c r="A10" s="6" t="s">
        <v>68</v>
      </c>
      <c r="B10" s="6">
        <f>SUM(B4:B5)</f>
        <v>303</v>
      </c>
      <c r="C10" s="7">
        <f>SUM(C4:C5)</f>
        <v>23671000</v>
      </c>
      <c r="D10" s="6">
        <f>SUM(D4:D5)</f>
        <v>39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Lopez</cp:lastModifiedBy>
  <dcterms:modified xsi:type="dcterms:W3CDTF">2026-08-30T14:27:13Z</dcterms:modified>
</cp:coreProperties>
</file>