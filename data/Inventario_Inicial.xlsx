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118463ab5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f7fe5a9485d54423"/>
    <x:sheet xmlns:r="http://schemas.openxmlformats.org/officeDocument/2006/relationships" name="Movimientos" sheetId="2" r:id="R8ba8610b36394a3d"/>
    <x:sheet xmlns:r="http://schemas.openxmlformats.org/officeDocument/2006/relationships" name="Resumen" sheetId="3" r:id="R30881e76a8814f3d"/>
    <x:sheet xmlns:r="http://schemas.openxmlformats.org/officeDocument/2006/relationships" name="Listas" sheetId="4" r:id="Rb05181c82d7a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$ #,##0"/>
    <x:numFmt numFmtId="202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8" xfId="0" applyNumberFormat="1" applyFont="1" applyFill="1" applyBorder="1" applyAlignment="1">
      <x:alignment horizontal="center"/>
    </x:xf>
    <x:xf numFmtId="0" fontId="3" fillId="4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3" fillId="4" borderId="24" xfId="0" applyNumberFormat="1" applyFont="1" applyFill="1" applyBorder="1" applyAlignment="1">
      <x:alignment horizontal="center"/>
    </x:xf>
    <x:xf numFmtId="0" fontId="3" fillId="4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201" fontId="0" fillId="0" borderId="21" xfId="0" applyNumberFormat="1" applyFont="1" applyFill="1" applyBorder="1"/>
    <x:xf numFmtId="201" fontId="0" fillId="0" borderId="27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b080ecb474fe6" /><Relationship Type="http://schemas.openxmlformats.org/officeDocument/2006/relationships/theme" Target="/xl/theme/theme1.xml" Id="R767200ca4f5a4b28" /><Relationship Type="http://schemas.openxmlformats.org/officeDocument/2006/relationships/sharedStrings" Target="/xl/sharedStrings.xml" Id="Rf240de90822f4199" /><Relationship Type="http://schemas.openxmlformats.org/officeDocument/2006/relationships/worksheet" Target="/xl/worksheets/sheet1.xml" Id="Rf7fe5a9485d54423" /><Relationship Type="http://schemas.openxmlformats.org/officeDocument/2006/relationships/worksheet" Target="/xl/worksheets/sheet2.xml" Id="R8ba8610b36394a3d" /><Relationship Type="http://schemas.openxmlformats.org/officeDocument/2006/relationships/worksheet" Target="/xl/worksheets/sheet3.xml" Id="R30881e76a8814f3d" /><Relationship Type="http://schemas.openxmlformats.org/officeDocument/2006/relationships/worksheet" Target="/xl/worksheets/sheet4.xml" Id="Rb05181c82d7a43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ed8941a6b743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Valor de inventario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Valor actual</c:v>
          </c:tx>
          <c:cat>
            <c:strRef>
              <c:f>'Resumen'!$A$12:$A$17</c:f>
              <c:strCache>
                <c:ptCount val="0"/>
              </c:strCache>
            </c:strRef>
          </c:cat>
          <c:val>
            <c:numRef>
              <c:f>'Resumen'!$B$12:$B$17</c:f>
              <c:numCache>
                <c:formatCode>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ed8941a6b743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Inventario" displayName="TablaInventario" ref="A1:N107" headerRowCount="1">
  <x:tableColumns count="14">
    <x:tableColumn id="1" name="Código"/>
    <x:tableColumn id="2" name="Producto / descripción"/>
    <x:tableColumn id="3" name="Categoría"/>
    <x:tableColumn id="4" name="Unidad"/>
    <x:tableColumn id="5" name="Stock inicial"/>
    <x:tableColumn id="6" name="Entradas"/>
    <x:tableColumn id="7" name="Ventas"/>
    <x:tableColumn id="8" name="Stock actual"/>
    <x:tableColumn id="9" name="Valor total inicial"/>
    <x:tableColumn id="10" name="Costo unitario"/>
    <x:tableColumn id="11" name="Valor inventario actual"/>
    <x:tableColumn id="12" name="Stock mínimo"/>
    <x:tableColumn id="13" name="Estado"/>
    <x:tableColumn id="14" name="Revisar transcripción"/>
  </x:tableColumns>
  <x:tableStyleInfo name="TableStyleMedium2" showRowStripes="1"/>
</x:table>
</file>

<file path=xl/tables/table2.xml><?xml version="1.0" encoding="utf-8"?>
<x:table xmlns:x="http://schemas.openxmlformats.org/spreadsheetml/2006/main" id="2" name="TablaMovimientos" displayName="TablaMovimientos" ref="A1:H501" headerRowCount="1">
  <x:tableColumns count="8">
    <x:tableColumn id="1" name="Fecha"/>
    <x:tableColumn id="2" name="Código producto"/>
    <x:tableColumn id="3" name="Tipo"/>
    <x:tableColumn id="4" name="Cantidad"/>
    <x:tableColumn id="5" name="Precio unitario venta"/>
    <x:tableColumn id="6" name="Cliente / proveedor"/>
    <x:tableColumn id="7" name="Documento"/>
    <x:tableColumn id="8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0041f2421a43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3f08aeaca246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2e9b27775db45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  <x:col min="6" max="6" width="11" hidden="0" customWidth="1"/>
    <x:col min="7" max="7" width="11" hidden="0" customWidth="1"/>
    <x:col min="8" max="8" width="12" hidden="0" customWidth="1"/>
    <x:col min="9" max="9" width="16" hidden="0" customWidth="1"/>
    <x:col min="10" max="10" width="14" hidden="0" customWidth="1"/>
    <x:col min="11" max="11" width="18" hidden="0" customWidth="1"/>
    <x:col min="12" max="12" width="12" hidden="0" customWidth="1"/>
    <x:col min="13" max="13" width="12" hidden="0" customWidth="1"/>
    <x:col min="14" max="14" width="28" hidden="0" customWidth="1"/>
  </x:cols>
  <x:sheetData>
    <x:row r="1">
      <x:c r="A1" s="12" t="str">
        <x:v>Código</x:v>
      </x:c>
      <x:c r="B1" s="13" t="str">
        <x:v>Producto / descripción</x:v>
      </x:c>
      <x:c r="C1" s="13" t="str">
        <x:v>Categoría</x:v>
      </x:c>
      <x:c r="D1" s="13" t="str">
        <x:v>Unidad</x:v>
      </x:c>
      <x:c r="E1" s="13" t="str">
        <x:v>Stock inicial</x:v>
      </x:c>
      <x:c r="F1" s="13" t="str">
        <x:v>Entradas</x:v>
      </x:c>
      <x:c r="G1" s="13" t="str">
        <x:v>Ventas</x:v>
      </x:c>
      <x:c r="H1" s="13" t="str">
        <x:v>Stock actual</x:v>
      </x:c>
      <x:c r="I1" s="13" t="str">
        <x:v>Valor total inicial</x:v>
      </x:c>
      <x:c r="J1" s="13" t="str">
        <x:v>Costo unitario</x:v>
      </x:c>
      <x:c r="K1" s="13" t="str">
        <x:v>Valor inventario actual</x:v>
      </x:c>
      <x:c r="L1" s="13" t="str">
        <x:v>Stock mínimo</x:v>
      </x:c>
      <x:c r="M1" s="13" t="str">
        <x:v>Estado</x:v>
      </x:c>
      <x:c r="N1" s="14" t="str">
        <x:v>Revisar transcripción</x:v>
      </x:c>
    </x:row>
    <x:row r="2">
      <x:c r="A2" s="37" t="str">
        <x:v>FIL-001</x:v>
      </x:c>
      <x:c r="B2" s="38" t="str">
        <x:v>6 kit filtros NPR acero</x:v>
      </x:c>
      <x:c r="C2" s="38" t="str">
        <x:v>Filtros</x:v>
      </x:c>
      <x:c r="D2" s="38" t="str">
        <x:v>Kit</x:v>
      </x:c>
      <x:c r="E2" s="39" t="n">
        <x:v>6</x:v>
      </x:c>
      <x:c r="F2" s="39" t="n">
        <x:f>SUMIFS(Movimientos!$D:$D,Movimientos!$B:$B,A2,Movimientos!$C:$C,"Entrada")</x:f>
        <x:v>0</x:v>
      </x:c>
      <x:c r="G2" s="39" t="n">
        <x:f>SUMIFS(Movimientos!$D:$D,Movimientos!$B:$B,A2,Movimientos!$C:$C,"Venta")</x:f>
        <x:v>0</x:v>
      </x:c>
      <x:c r="H2" s="39" t="n">
        <x:f>E2+F2-G2</x:f>
        <x:v>6</x:v>
      </x:c>
      <x:c r="I2" s="40" t="n">
        <x:v>1092000</x:v>
      </x:c>
      <x:c r="J2" s="40" t="n">
        <x:f>IFERROR(I2/E2,0)</x:f>
        <x:v>182000</x:v>
      </x:c>
      <x:c r="K2" s="40" t="n">
        <x:f>H2*J2</x:f>
        <x:v>1092000</x:v>
      </x:c>
      <x:c r="L2" s="39" t="n">
        <x:v>1</x:v>
      </x:c>
      <x:c r="M2" s="38" t="str">
        <x:f>IF(H2&lt;=0,"AGOTADO",IF(H2&lt;=L2,"BAJO","OK"))</x:f>
        <x:v>OK</x:v>
      </x:c>
      <x:c r="N2" s="41" t="str">
        <x:v>Revisar valor/descripcion</x:v>
      </x:c>
    </x:row>
    <x:row r="3">
      <x:c r="A3" s="37" t="str">
        <x:v>FIL-002</x:v>
      </x:c>
      <x:c r="B3" s="38" t="str">
        <x:v>5 kit filtros NPR</x:v>
      </x:c>
      <x:c r="C3" s="38" t="str">
        <x:v>Filtros</x:v>
      </x:c>
      <x:c r="D3" s="38" t="str">
        <x:v>Kit</x:v>
      </x:c>
      <x:c r="E3" s="39" t="n">
        <x:v>5</x:v>
      </x:c>
      <x:c r="F3" s="39" t="n">
        <x:f>SUMIFS(Movimientos!$D:$D,Movimientos!$B:$B,A3,Movimientos!$C:$C,"Entrada")</x:f>
        <x:v>0</x:v>
      </x:c>
      <x:c r="G3" s="39" t="n">
        <x:f>SUMIFS(Movimientos!$D:$D,Movimientos!$B:$B,A3,Movimientos!$C:$C,"Venta")</x:f>
        <x:v>0</x:v>
      </x:c>
      <x:c r="H3" s="39" t="n">
        <x:f>E3+F3-G3</x:f>
        <x:v>5</x:v>
      </x:c>
      <x:c r="I3" s="40" t="n">
        <x:v>680000</x:v>
      </x:c>
      <x:c r="J3" s="40" t="n">
        <x:f>IFERROR(I3/E3,0)</x:f>
        <x:v>136000</x:v>
      </x:c>
      <x:c r="K3" s="40" t="n">
        <x:f>H3*J3</x:f>
        <x:v>680000</x:v>
      </x:c>
      <x:c r="L3" s="39" t="n">
        <x:v>1</x:v>
      </x:c>
      <x:c r="M3" s="38" t="str">
        <x:f>IF(H3&lt;=0,"AGOTADO",IF(H3&lt;=L3,"BAJO","OK"))</x:f>
        <x:v>OK</x:v>
      </x:c>
      <x:c r="N3" s="41" t="str"/>
    </x:row>
    <x:row r="4">
      <x:c r="A4" s="37" t="str">
        <x:v>FIL-003</x:v>
      </x:c>
      <x:c r="B4" s="38" t="str">
        <x:v>2 kit filtros NKR Euro 4</x:v>
      </x:c>
      <x:c r="C4" s="38" t="str">
        <x:v>Filtros</x:v>
      </x:c>
      <x:c r="D4" s="38" t="str">
        <x:v>Kit</x:v>
      </x:c>
      <x:c r="E4" s="39" t="n">
        <x:v>2</x:v>
      </x:c>
      <x:c r="F4" s="39" t="n">
        <x:f>SUMIFS(Movimientos!$D:$D,Movimientos!$B:$B,A4,Movimientos!$C:$C,"Entrada")</x:f>
        <x:v>0</x:v>
      </x:c>
      <x:c r="G4" s="39" t="n">
        <x:f>SUMIFS(Movimientos!$D:$D,Movimientos!$B:$B,A4,Movimientos!$C:$C,"Venta")</x:f>
        <x:v>0</x:v>
      </x:c>
      <x:c r="H4" s="39" t="n">
        <x:f>E4+F4-G4</x:f>
        <x:v>2</x:v>
      </x:c>
      <x:c r="I4" s="40" t="n">
        <x:v>368000</x:v>
      </x:c>
      <x:c r="J4" s="40" t="n">
        <x:f>IFERROR(I4/E4,0)</x:f>
        <x:v>184000</x:v>
      </x:c>
      <x:c r="K4" s="40" t="n">
        <x:f>H4*J4</x:f>
        <x:v>368000</x:v>
      </x:c>
      <x:c r="L4" s="39" t="n">
        <x:v>1</x:v>
      </x:c>
      <x:c r="M4" s="38" t="str">
        <x:f>IF(H4&lt;=0,"AGOTADO",IF(H4&lt;=L4,"BAJO","OK"))</x:f>
        <x:v>OK</x:v>
      </x:c>
      <x:c r="N4" s="41" t="str"/>
    </x:row>
    <x:row r="5">
      <x:c r="A5" s="37" t="str">
        <x:v>FIL-004</x:v>
      </x:c>
      <x:c r="B5" s="38" t="str">
        <x:v>2 kit filtros NHR Euro 4</x:v>
      </x:c>
      <x:c r="C5" s="38" t="str">
        <x:v>Filtros</x:v>
      </x:c>
      <x:c r="D5" s="38" t="str">
        <x:v>Kit</x:v>
      </x:c>
      <x:c r="E5" s="39" t="n">
        <x:v>2</x:v>
      </x:c>
      <x:c r="F5" s="39" t="n">
        <x:f>SUMIFS(Movimientos!$D:$D,Movimientos!$B:$B,A5,Movimientos!$C:$C,"Entrada")</x:f>
        <x:v>0</x:v>
      </x:c>
      <x:c r="G5" s="39" t="n">
        <x:f>SUMIFS(Movimientos!$D:$D,Movimientos!$B:$B,A5,Movimientos!$C:$C,"Venta")</x:f>
        <x:v>0</x:v>
      </x:c>
      <x:c r="H5" s="39" t="n">
        <x:f>E5+F5-G5</x:f>
        <x:v>2</x:v>
      </x:c>
      <x:c r="I5" s="40" t="n">
        <x:v>260000</x:v>
      </x:c>
      <x:c r="J5" s="40" t="n">
        <x:f>IFERROR(I5/E5,0)</x:f>
        <x:v>130000</x:v>
      </x:c>
      <x:c r="K5" s="40" t="n">
        <x:f>H5*J5</x:f>
        <x:v>260000</x:v>
      </x:c>
      <x:c r="L5" s="39" t="n">
        <x:v>1</x:v>
      </x:c>
      <x:c r="M5" s="38" t="str">
        <x:f>IF(H5&lt;=0,"AGOTADO",IF(H5&lt;=L5,"BAJO","OK"))</x:f>
        <x:v>OK</x:v>
      </x:c>
      <x:c r="N5" s="41" t="str"/>
    </x:row>
    <x:row r="6">
      <x:c r="A6" s="37" t="str">
        <x:v>FIL-005</x:v>
      </x:c>
      <x:c r="B6" s="38" t="str">
        <x:v>2 filtros aire NPR Accedelo</x:v>
      </x:c>
      <x:c r="C6" s="38" t="str">
        <x:v>Filtros</x:v>
      </x:c>
      <x:c r="D6" s="38" t="str">
        <x:v>Unidad</x:v>
      </x:c>
      <x:c r="E6" s="39" t="n">
        <x:v>2</x:v>
      </x:c>
      <x:c r="F6" s="39" t="n">
        <x:f>SUMIFS(Movimientos!$D:$D,Movimientos!$B:$B,A6,Movimientos!$C:$C,"Entrada")</x:f>
        <x:v>0</x:v>
      </x:c>
      <x:c r="G6" s="39" t="n">
        <x:f>SUMIFS(Movimientos!$D:$D,Movimientos!$B:$B,A6,Movimientos!$C:$C,"Venta")</x:f>
        <x:v>0</x:v>
      </x:c>
      <x:c r="H6" s="39" t="n">
        <x:f>E6+F6-G6</x:f>
        <x:v>2</x:v>
      </x:c>
      <x:c r="I6" s="40" t="n">
        <x:v>120000</x:v>
      </x:c>
      <x:c r="J6" s="40" t="n">
        <x:f>IFERROR(I6/E6,0)</x:f>
        <x:v>60000</x:v>
      </x:c>
      <x:c r="K6" s="40" t="n">
        <x:f>H6*J6</x:f>
        <x:v>120000</x:v>
      </x:c>
      <x:c r="L6" s="39" t="n">
        <x:v>1</x:v>
      </x:c>
      <x:c r="M6" s="38" t="str">
        <x:f>IF(H6&lt;=0,"AGOTADO",IF(H6&lt;=L6,"BAJO","OK"))</x:f>
        <x:v>OK</x:v>
      </x:c>
      <x:c r="N6" s="41" t="str"/>
    </x:row>
    <x:row r="7">
      <x:c r="A7" s="37" t="str">
        <x:v>FIL-006</x:v>
      </x:c>
      <x:c r="B7" s="38" t="str">
        <x:v>Filtro aire Hino WIX</x:v>
      </x:c>
      <x:c r="C7" s="38" t="str">
        <x:v>Filtros</x:v>
      </x:c>
      <x:c r="D7" s="38" t="str">
        <x:v>Unidad</x:v>
      </x:c>
      <x:c r="E7" s="39" t="n">
        <x:v>1</x:v>
      </x:c>
      <x:c r="F7" s="39" t="n">
        <x:f>SUMIFS(Movimientos!$D:$D,Movimientos!$B:$B,A7,Movimientos!$C:$C,"Entrada")</x:f>
        <x:v>0</x:v>
      </x:c>
      <x:c r="G7" s="39" t="n">
        <x:f>SUMIFS(Movimientos!$D:$D,Movimientos!$B:$B,A7,Movimientos!$C:$C,"Venta")</x:f>
        <x:v>0</x:v>
      </x:c>
      <x:c r="H7" s="39" t="n">
        <x:f>E7+F7-G7</x:f>
        <x:v>1</x:v>
      </x:c>
      <x:c r="I7" s="40" t="n">
        <x:v>65000</x:v>
      </x:c>
      <x:c r="J7" s="40" t="n">
        <x:f>IFERROR(I7/E7,0)</x:f>
        <x:v>65000</x:v>
      </x:c>
      <x:c r="K7" s="40" t="n">
        <x:f>H7*J7</x:f>
        <x:v>65000</x:v>
      </x:c>
      <x:c r="L7" s="39" t="n">
        <x:v>1</x:v>
      </x:c>
      <x:c r="M7" s="38" t="str">
        <x:f>IF(H7&lt;=0,"AGOTADO",IF(H7&lt;=L7,"BAJO","OK"))</x:f>
        <x:v>BAJO</x:v>
      </x:c>
      <x:c r="N7" s="41" t="str"/>
    </x:row>
    <x:row r="8">
      <x:c r="A8" s="37" t="str">
        <x:v>FIL-007</x:v>
      </x:c>
      <x:c r="B8" s="38" t="str">
        <x:v>Filtro ACPM NPR 1927964 Accedelo</x:v>
      </x:c>
      <x:c r="C8" s="38" t="str">
        <x:v>Filtros</x:v>
      </x:c>
      <x:c r="D8" s="38" t="str">
        <x:v>Unidad</x:v>
      </x:c>
      <x:c r="E8" s="39" t="n">
        <x:v>1</x:v>
      </x:c>
      <x:c r="F8" s="39" t="n">
        <x:f>SUMIFS(Movimientos!$D:$D,Movimientos!$B:$B,A8,Movimientos!$C:$C,"Entrada")</x:f>
        <x:v>0</x:v>
      </x:c>
      <x:c r="G8" s="39" t="n">
        <x:f>SUMIFS(Movimientos!$D:$D,Movimientos!$B:$B,A8,Movimientos!$C:$C,"Venta")</x:f>
        <x:v>0</x:v>
      </x:c>
      <x:c r="H8" s="39" t="n">
        <x:f>E8+F8-G8</x:f>
        <x:v>1</x:v>
      </x:c>
      <x:c r="I8" s="40" t="n">
        <x:v>35000</x:v>
      </x:c>
      <x:c r="J8" s="40" t="n">
        <x:f>IFERROR(I8/E8,0)</x:f>
        <x:v>35000</x:v>
      </x:c>
      <x:c r="K8" s="40" t="n">
        <x:f>H8*J8</x:f>
        <x:v>35000</x:v>
      </x:c>
      <x:c r="L8" s="39" t="n">
        <x:v>1</x:v>
      </x:c>
      <x:c r="M8" s="38" t="str">
        <x:f>IF(H8&lt;=0,"AGOTADO",IF(H8&lt;=L8,"BAJO","OK"))</x:f>
        <x:v>BAJO</x:v>
      </x:c>
      <x:c r="N8" s="41" t="str">
        <x:v>Código por revisar</x:v>
      </x:c>
    </x:row>
    <x:row r="9">
      <x:c r="A9" s="37" t="str">
        <x:v>FIL-008</x:v>
      </x:c>
      <x:c r="B9" s="38" t="str">
        <x:v>3 filtros aceite NKR Euro 4 Accedelo</x:v>
      </x:c>
      <x:c r="C9" s="38" t="str">
        <x:v>Filtros</x:v>
      </x:c>
      <x:c r="D9" s="38" t="str">
        <x:v>Unidad</x:v>
      </x:c>
      <x:c r="E9" s="39" t="n">
        <x:v>3</x:v>
      </x:c>
      <x:c r="F9" s="39" t="n">
        <x:f>SUMIFS(Movimientos!$D:$D,Movimientos!$B:$B,A9,Movimientos!$C:$C,"Entrada")</x:f>
        <x:v>0</x:v>
      </x:c>
      <x:c r="G9" s="39" t="n">
        <x:f>SUMIFS(Movimientos!$D:$D,Movimientos!$B:$B,A9,Movimientos!$C:$C,"Venta")</x:f>
        <x:v>0</x:v>
      </x:c>
      <x:c r="H9" s="39" t="n">
        <x:f>E9+F9-G9</x:f>
        <x:v>3</x:v>
      </x:c>
      <x:c r="I9" s="40" t="n">
        <x:v>150000</x:v>
      </x:c>
      <x:c r="J9" s="40" t="n">
        <x:f>IFERROR(I9/E9,0)</x:f>
        <x:v>50000</x:v>
      </x:c>
      <x:c r="K9" s="40" t="n">
        <x:f>H9*J9</x:f>
        <x:v>150000</x:v>
      </x:c>
      <x:c r="L9" s="39" t="n">
        <x:v>1</x:v>
      </x:c>
      <x:c r="M9" s="38" t="str">
        <x:f>IF(H9&lt;=0,"AGOTADO",IF(H9&lt;=L9,"BAJO","OK"))</x:f>
        <x:v>OK</x:v>
      </x:c>
      <x:c r="N9" s="41" t="str"/>
    </x:row>
    <x:row r="10">
      <x:c r="A10" s="37" t="str">
        <x:v>FIL-009</x:v>
      </x:c>
      <x:c r="B10" s="38" t="str">
        <x:v>4 filtros aire Maxter NPR</x:v>
      </x:c>
      <x:c r="C10" s="38" t="str">
        <x:v>Filtros</x:v>
      </x:c>
      <x:c r="D10" s="38" t="str">
        <x:v>Unidad</x:v>
      </x:c>
      <x:c r="E10" s="39" t="n">
        <x:v>4</x:v>
      </x:c>
      <x:c r="F10" s="39" t="n">
        <x:f>SUMIFS(Movimientos!$D:$D,Movimientos!$B:$B,A10,Movimientos!$C:$C,"Entrada")</x:f>
        <x:v>0</x:v>
      </x:c>
      <x:c r="G10" s="39" t="n">
        <x:f>SUMIFS(Movimientos!$D:$D,Movimientos!$B:$B,A10,Movimientos!$C:$C,"Venta")</x:f>
        <x:v>0</x:v>
      </x:c>
      <x:c r="H10" s="39" t="n">
        <x:f>E10+F10-G10</x:f>
        <x:v>4</x:v>
      </x:c>
      <x:c r="I10" s="40" t="n">
        <x:v>144000</x:v>
      </x:c>
      <x:c r="J10" s="40" t="n">
        <x:f>IFERROR(I10/E10,0)</x:f>
        <x:v>36000</x:v>
      </x:c>
      <x:c r="K10" s="40" t="n">
        <x:f>H10*J10</x:f>
        <x:v>144000</x:v>
      </x:c>
      <x:c r="L10" s="39" t="n">
        <x:v>1</x:v>
      </x:c>
      <x:c r="M10" s="38" t="str">
        <x:f>IF(H10&lt;=0,"AGOTADO",IF(H10&lt;=L10,"BAJO","OK"))</x:f>
        <x:v>OK</x:v>
      </x:c>
      <x:c r="N10" s="41" t="str"/>
    </x:row>
    <x:row r="11">
      <x:c r="A11" s="37" t="str">
        <x:v>FIL-010</x:v>
      </x:c>
      <x:c r="B11" s="38" t="str">
        <x:v>5 filtros aceite NPR Maxter</x:v>
      </x:c>
      <x:c r="C11" s="38" t="str">
        <x:v>Filtros</x:v>
      </x:c>
      <x:c r="D11" s="38" t="str">
        <x:v>Unidad</x:v>
      </x:c>
      <x:c r="E11" s="39" t="n">
        <x:v>5</x:v>
      </x:c>
      <x:c r="F11" s="39" t="n">
        <x:f>SUMIFS(Movimientos!$D:$D,Movimientos!$B:$B,A11,Movimientos!$C:$C,"Entrada")</x:f>
        <x:v>0</x:v>
      </x:c>
      <x:c r="G11" s="39" t="n">
        <x:f>SUMIFS(Movimientos!$D:$D,Movimientos!$B:$B,A11,Movimientos!$C:$C,"Venta")</x:f>
        <x:v>0</x:v>
      </x:c>
      <x:c r="H11" s="39" t="n">
        <x:f>E11+F11-G11</x:f>
        <x:v>5</x:v>
      </x:c>
      <x:c r="I11" s="40" t="n">
        <x:v>175000</x:v>
      </x:c>
      <x:c r="J11" s="40" t="n">
        <x:f>IFERROR(I11/E11,0)</x:f>
        <x:v>35000</x:v>
      </x:c>
      <x:c r="K11" s="40" t="n">
        <x:f>H11*J11</x:f>
        <x:v>175000</x:v>
      </x:c>
      <x:c r="L11" s="39" t="n">
        <x:v>1</x:v>
      </x:c>
      <x:c r="M11" s="38" t="str">
        <x:f>IF(H11&lt;=0,"AGOTADO",IF(H11&lt;=L11,"BAJO","OK"))</x:f>
        <x:v>OK</x:v>
      </x:c>
      <x:c r="N11" s="41" t="str"/>
    </x:row>
    <x:row r="12">
      <x:c r="A12" s="37" t="str">
        <x:v>FIL-011</x:v>
      </x:c>
      <x:c r="B12" s="38" t="str">
        <x:v>4 filtros aceite NKR ICL</x:v>
      </x:c>
      <x:c r="C12" s="38" t="str">
        <x:v>Filtros</x:v>
      </x:c>
      <x:c r="D12" s="38" t="str">
        <x:v>Unidad</x:v>
      </x:c>
      <x:c r="E12" s="39" t="n">
        <x:v>4</x:v>
      </x:c>
      <x:c r="F12" s="39" t="n">
        <x:f>SUMIFS(Movimientos!$D:$D,Movimientos!$B:$B,A12,Movimientos!$C:$C,"Entrada")</x:f>
        <x:v>0</x:v>
      </x:c>
      <x:c r="G12" s="39" t="n">
        <x:f>SUMIFS(Movimientos!$D:$D,Movimientos!$B:$B,A12,Movimientos!$C:$C,"Venta")</x:f>
        <x:v>0</x:v>
      </x:c>
      <x:c r="H12" s="39" t="n">
        <x:f>E12+F12-G12</x:f>
        <x:v>4</x:v>
      </x:c>
      <x:c r="I12" s="40" t="n">
        <x:v>80000</x:v>
      </x:c>
      <x:c r="J12" s="40" t="n">
        <x:f>IFERROR(I12/E12,0)</x:f>
        <x:v>20000</x:v>
      </x:c>
      <x:c r="K12" s="40" t="n">
        <x:f>H12*J12</x:f>
        <x:v>80000</x:v>
      </x:c>
      <x:c r="L12" s="39" t="n">
        <x:v>1</x:v>
      </x:c>
      <x:c r="M12" s="38" t="str">
        <x:f>IF(H12&lt;=0,"AGOTADO",IF(H12&lt;=L12,"BAJO","OK"))</x:f>
        <x:v>OK</x:v>
      </x:c>
      <x:c r="N12" s="41" t="str">
        <x:v>Descripción por revisar</x:v>
      </x:c>
    </x:row>
    <x:row r="13">
      <x:c r="A13" s="37" t="str">
        <x:v>FIL-012</x:v>
      </x:c>
      <x:c r="B13" s="38" t="str">
        <x:v>5 filtros Hino 300 Hade</x:v>
      </x:c>
      <x:c r="C13" s="38" t="str">
        <x:v>Filtros</x:v>
      </x:c>
      <x:c r="D13" s="38" t="str">
        <x:v>Unidad</x:v>
      </x:c>
      <x:c r="E13" s="39" t="n">
        <x:v>5</x:v>
      </x:c>
      <x:c r="F13" s="39" t="n">
        <x:f>SUMIFS(Movimientos!$D:$D,Movimientos!$B:$B,A13,Movimientos!$C:$C,"Entrada")</x:f>
        <x:v>0</x:v>
      </x:c>
      <x:c r="G13" s="39" t="n">
        <x:f>SUMIFS(Movimientos!$D:$D,Movimientos!$B:$B,A13,Movimientos!$C:$C,"Venta")</x:f>
        <x:v>0</x:v>
      </x:c>
      <x:c r="H13" s="39" t="n">
        <x:f>E13+F13-G13</x:f>
        <x:v>5</x:v>
      </x:c>
      <x:c r="I13" s="40" t="n">
        <x:v>115000</x:v>
      </x:c>
      <x:c r="J13" s="40" t="n">
        <x:f>IFERROR(I13/E13,0)</x:f>
        <x:v>23000</x:v>
      </x:c>
      <x:c r="K13" s="40" t="n">
        <x:f>H13*J13</x:f>
        <x:v>115000</x:v>
      </x:c>
      <x:c r="L13" s="39" t="n">
        <x:v>1</x:v>
      </x:c>
      <x:c r="M13" s="38" t="str">
        <x:f>IF(H13&lt;=0,"AGOTADO",IF(H13&lt;=L13,"BAJO","OK"))</x:f>
        <x:v>OK</x:v>
      </x:c>
      <x:c r="N13" s="41" t="str">
        <x:v>Marca/descripcion por revisar</x:v>
      </x:c>
    </x:row>
    <x:row r="14">
      <x:c r="A14" s="37" t="str">
        <x:v>FIL-013</x:v>
      </x:c>
      <x:c r="B14" s="38" t="str">
        <x:v>3 filtros NKR modelo viejo aire</x:v>
      </x:c>
      <x:c r="C14" s="38" t="str">
        <x:v>Filtros</x:v>
      </x:c>
      <x:c r="D14" s="38" t="str">
        <x:v>Unidad</x:v>
      </x:c>
      <x:c r="E14" s="39" t="n">
        <x:v>3</x:v>
      </x:c>
      <x:c r="F14" s="39" t="n">
        <x:f>SUMIFS(Movimientos!$D:$D,Movimientos!$B:$B,A14,Movimientos!$C:$C,"Entrada")</x:f>
        <x:v>0</x:v>
      </x:c>
      <x:c r="G14" s="39" t="n">
        <x:f>SUMIFS(Movimientos!$D:$D,Movimientos!$B:$B,A14,Movimientos!$C:$C,"Venta")</x:f>
        <x:v>0</x:v>
      </x:c>
      <x:c r="H14" s="39" t="n">
        <x:f>E14+F14-G14</x:f>
        <x:v>3</x:v>
      </x:c>
      <x:c r="I14" s="40" t="n">
        <x:v>84000</x:v>
      </x:c>
      <x:c r="J14" s="40" t="n">
        <x:f>IFERROR(I14/E14,0)</x:f>
        <x:v>28000</x:v>
      </x:c>
      <x:c r="K14" s="40" t="n">
        <x:f>H14*J14</x:f>
        <x:v>84000</x:v>
      </x:c>
      <x:c r="L14" s="39" t="n">
        <x:v>1</x:v>
      </x:c>
      <x:c r="M14" s="38" t="str">
        <x:f>IF(H14&lt;=0,"AGOTADO",IF(H14&lt;=L14,"BAJO","OK"))</x:f>
        <x:v>OK</x:v>
      </x:c>
      <x:c r="N14" s="41" t="str"/>
    </x:row>
    <x:row r="15">
      <x:c r="A15" s="37" t="str">
        <x:v>FIL-014</x:v>
      </x:c>
      <x:c r="B15" s="38" t="str">
        <x:v>2 filtros NKR aire modelo nuevo</x:v>
      </x:c>
      <x:c r="C15" s="38" t="str">
        <x:v>Filtros</x:v>
      </x:c>
      <x:c r="D15" s="38" t="str">
        <x:v>Unidad</x:v>
      </x:c>
      <x:c r="E15" s="39" t="n">
        <x:v>2</x:v>
      </x:c>
      <x:c r="F15" s="39" t="n">
        <x:f>SUMIFS(Movimientos!$D:$D,Movimientos!$B:$B,A15,Movimientos!$C:$C,"Entrada")</x:f>
        <x:v>0</x:v>
      </x:c>
      <x:c r="G15" s="39" t="n">
        <x:f>SUMIFS(Movimientos!$D:$D,Movimientos!$B:$B,A15,Movimientos!$C:$C,"Venta")</x:f>
        <x:v>0</x:v>
      </x:c>
      <x:c r="H15" s="39" t="n">
        <x:f>E15+F15-G15</x:f>
        <x:v>2</x:v>
      </x:c>
      <x:c r="I15" s="40" t="n">
        <x:v>76000</x:v>
      </x:c>
      <x:c r="J15" s="40" t="n">
        <x:f>IFERROR(I15/E15,0)</x:f>
        <x:v>38000</x:v>
      </x:c>
      <x:c r="K15" s="40" t="n">
        <x:f>H15*J15</x:f>
        <x:v>76000</x:v>
      </x:c>
      <x:c r="L15" s="39" t="n">
        <x:v>1</x:v>
      </x:c>
      <x:c r="M15" s="38" t="str">
        <x:f>IF(H15&lt;=0,"AGOTADO",IF(H15&lt;=L15,"BAJO","OK"))</x:f>
        <x:v>OK</x:v>
      </x:c>
      <x:c r="N15" s="41" t="str"/>
    </x:row>
    <x:row r="16">
      <x:c r="A16" s="37" t="str">
        <x:v>FIL-015</x:v>
      </x:c>
      <x:c r="B16" s="38" t="str">
        <x:v>5 filtros ACPM Hino 421 WIX</x:v>
      </x:c>
      <x:c r="C16" s="38" t="str">
        <x:v>Filtros</x:v>
      </x:c>
      <x:c r="D16" s="38" t="str">
        <x:v>Unidad</x:v>
      </x:c>
      <x:c r="E16" s="39" t="n">
        <x:v>5</x:v>
      </x:c>
      <x:c r="F16" s="39" t="n">
        <x:f>SUMIFS(Movimientos!$D:$D,Movimientos!$B:$B,A16,Movimientos!$C:$C,"Entrada")</x:f>
        <x:v>0</x:v>
      </x:c>
      <x:c r="G16" s="39" t="n">
        <x:f>SUMIFS(Movimientos!$D:$D,Movimientos!$B:$B,A16,Movimientos!$C:$C,"Venta")</x:f>
        <x:v>0</x:v>
      </x:c>
      <x:c r="H16" s="39" t="n">
        <x:f>E16+F16-G16</x:f>
        <x:v>5</x:v>
      </x:c>
      <x:c r="I16" s="40" t="n">
        <x:v>127500</x:v>
      </x:c>
      <x:c r="J16" s="40" t="n">
        <x:f>IFERROR(I16/E16,0)</x:f>
        <x:v>25500</x:v>
      </x:c>
      <x:c r="K16" s="40" t="n">
        <x:f>H16*J16</x:f>
        <x:v>127500</x:v>
      </x:c>
      <x:c r="L16" s="39" t="n">
        <x:v>1</x:v>
      </x:c>
      <x:c r="M16" s="38" t="str">
        <x:f>IF(H16&lt;=0,"AGOTADO",IF(H16&lt;=L16,"BAJO","OK"))</x:f>
        <x:v>OK</x:v>
      </x:c>
      <x:c r="N16" s="41" t="str">
        <x:v>Referencia por revisar</x:v>
      </x:c>
    </x:row>
    <x:row r="17">
      <x:c r="A17" s="37" t="str">
        <x:v>FIL-016</x:v>
      </x:c>
      <x:c r="B17" s="38" t="str">
        <x:v>5 filtros ACPM Hino 300 352 WIX</x:v>
      </x:c>
      <x:c r="C17" s="38" t="str">
        <x:v>Filtros</x:v>
      </x:c>
      <x:c r="D17" s="38" t="str">
        <x:v>Unidad</x:v>
      </x:c>
      <x:c r="E17" s="39" t="n">
        <x:v>5</x:v>
      </x:c>
      <x:c r="F17" s="39" t="n">
        <x:f>SUMIFS(Movimientos!$D:$D,Movimientos!$B:$B,A17,Movimientos!$C:$C,"Entrada")</x:f>
        <x:v>0</x:v>
      </x:c>
      <x:c r="G17" s="39" t="n">
        <x:f>SUMIFS(Movimientos!$D:$D,Movimientos!$B:$B,A17,Movimientos!$C:$C,"Venta")</x:f>
        <x:v>0</x:v>
      </x:c>
      <x:c r="H17" s="39" t="n">
        <x:f>E17+F17-G17</x:f>
        <x:v>5</x:v>
      </x:c>
      <x:c r="I17" s="40" t="n">
        <x:v>142500</x:v>
      </x:c>
      <x:c r="J17" s="40" t="n">
        <x:f>IFERROR(I17/E17,0)</x:f>
        <x:v>28500</x:v>
      </x:c>
      <x:c r="K17" s="40" t="n">
        <x:f>H17*J17</x:f>
        <x:v>142500</x:v>
      </x:c>
      <x:c r="L17" s="39" t="n">
        <x:v>1</x:v>
      </x:c>
      <x:c r="M17" s="38" t="str">
        <x:f>IF(H17&lt;=0,"AGOTADO",IF(H17&lt;=L17,"BAJO","OK"))</x:f>
        <x:v>OK</x:v>
      </x:c>
      <x:c r="N17" s="41" t="str"/>
    </x:row>
    <x:row r="18">
      <x:c r="A18" s="37" t="str">
        <x:v>FIL-017</x:v>
      </x:c>
      <x:c r="B18" s="38" t="str">
        <x:v>5 filtros ACPM Hino 300 13190 Sakura</x:v>
      </x:c>
      <x:c r="C18" s="38" t="str">
        <x:v>Filtros</x:v>
      </x:c>
      <x:c r="D18" s="38" t="str">
        <x:v>Unidad</x:v>
      </x:c>
      <x:c r="E18" s="39" t="n">
        <x:v>5</x:v>
      </x:c>
      <x:c r="F18" s="39" t="n">
        <x:f>SUMIFS(Movimientos!$D:$D,Movimientos!$B:$B,A18,Movimientos!$C:$C,"Entrada")</x:f>
        <x:v>0</x:v>
      </x:c>
      <x:c r="G18" s="39" t="n">
        <x:f>SUMIFS(Movimientos!$D:$D,Movimientos!$B:$B,A18,Movimientos!$C:$C,"Venta")</x:f>
        <x:v>0</x:v>
      </x:c>
      <x:c r="H18" s="39" t="n">
        <x:f>E18+F18-G18</x:f>
        <x:v>5</x:v>
      </x:c>
      <x:c r="I18" s="40" t="n">
        <x:v>225000</x:v>
      </x:c>
      <x:c r="J18" s="40" t="n">
        <x:f>IFERROR(I18/E18,0)</x:f>
        <x:v>45000</x:v>
      </x:c>
      <x:c r="K18" s="40" t="n">
        <x:f>H18*J18</x:f>
        <x:v>225000</x:v>
      </x:c>
      <x:c r="L18" s="39" t="n">
        <x:v>1</x:v>
      </x:c>
      <x:c r="M18" s="38" t="str">
        <x:f>IF(H18&lt;=0,"AGOTADO",IF(H18&lt;=L18,"BAJO","OK"))</x:f>
        <x:v>OK</x:v>
      </x:c>
      <x:c r="N18" s="41" t="str"/>
    </x:row>
    <x:row r="19">
      <x:c r="A19" s="37" t="str">
        <x:v>FIL-018</x:v>
      </x:c>
      <x:c r="B19" s="38" t="str">
        <x:v>4 filtros aceite Hino 300 Maxter</x:v>
      </x:c>
      <x:c r="C19" s="38" t="str">
        <x:v>Filtros</x:v>
      </x:c>
      <x:c r="D19" s="38" t="str">
        <x:v>Unidad</x:v>
      </x:c>
      <x:c r="E19" s="39" t="n">
        <x:v>4</x:v>
      </x:c>
      <x:c r="F19" s="39" t="n">
        <x:f>SUMIFS(Movimientos!$D:$D,Movimientos!$B:$B,A19,Movimientos!$C:$C,"Entrada")</x:f>
        <x:v>0</x:v>
      </x:c>
      <x:c r="G19" s="39" t="n">
        <x:f>SUMIFS(Movimientos!$D:$D,Movimientos!$B:$B,A19,Movimientos!$C:$C,"Venta")</x:f>
        <x:v>0</x:v>
      </x:c>
      <x:c r="H19" s="39" t="n">
        <x:f>E19+F19-G19</x:f>
        <x:v>4</x:v>
      </x:c>
      <x:c r="I19" s="40" t="n">
        <x:v>92000</x:v>
      </x:c>
      <x:c r="J19" s="40" t="n">
        <x:f>IFERROR(I19/E19,0)</x:f>
        <x:v>23000</x:v>
      </x:c>
      <x:c r="K19" s="40" t="n">
        <x:f>H19*J19</x:f>
        <x:v>92000</x:v>
      </x:c>
      <x:c r="L19" s="39" t="n">
        <x:v>1</x:v>
      </x:c>
      <x:c r="M19" s="38" t="str">
        <x:f>IF(H19&lt;=0,"AGOTADO",IF(H19&lt;=L19,"BAJO","OK"))</x:f>
        <x:v>OK</x:v>
      </x:c>
      <x:c r="N19" s="41" t="str"/>
    </x:row>
    <x:row r="20">
      <x:c r="A20" s="37" t="str">
        <x:v>FIL-019</x:v>
      </x:c>
      <x:c r="B20" s="38" t="str">
        <x:v>5 filtros ACPM Hino 500 1345 Maxter</x:v>
      </x:c>
      <x:c r="C20" s="38" t="str">
        <x:v>Filtros</x:v>
      </x:c>
      <x:c r="D20" s="38" t="str">
        <x:v>Unidad</x:v>
      </x:c>
      <x:c r="E20" s="39" t="n">
        <x:v>5</x:v>
      </x:c>
      <x:c r="F20" s="39" t="n">
        <x:f>SUMIFS(Movimientos!$D:$D,Movimientos!$B:$B,A20,Movimientos!$C:$C,"Entrada")</x:f>
        <x:v>0</x:v>
      </x:c>
      <x:c r="G20" s="39" t="n">
        <x:f>SUMIFS(Movimientos!$D:$D,Movimientos!$B:$B,A20,Movimientos!$C:$C,"Venta")</x:f>
        <x:v>0</x:v>
      </x:c>
      <x:c r="H20" s="39" t="n">
        <x:f>E20+F20-G20</x:f>
        <x:v>5</x:v>
      </x:c>
      <x:c r="I20" s="40" t="n">
        <x:v>150000</x:v>
      </x:c>
      <x:c r="J20" s="40" t="n">
        <x:f>IFERROR(I20/E20,0)</x:f>
        <x:v>30000</x:v>
      </x:c>
      <x:c r="K20" s="40" t="n">
        <x:f>H20*J20</x:f>
        <x:v>150000</x:v>
      </x:c>
      <x:c r="L20" s="39" t="n">
        <x:v>1</x:v>
      </x:c>
      <x:c r="M20" s="38" t="str">
        <x:f>IF(H20&lt;=0,"AGOTADO",IF(H20&lt;=L20,"BAJO","OK"))</x:f>
        <x:v>OK</x:v>
      </x:c>
      <x:c r="N20" s="41" t="str">
        <x:v>Referencia por revisar</x:v>
      </x:c>
    </x:row>
    <x:row r="21">
      <x:c r="A21" s="37" t="str">
        <x:v>FIL-020</x:v>
      </x:c>
      <x:c r="B21" s="38" t="str">
        <x:v>4 filtros aceite Hino 500</x:v>
      </x:c>
      <x:c r="C21" s="38" t="str">
        <x:v>Filtros</x:v>
      </x:c>
      <x:c r="D21" s="38" t="str">
        <x:v>Unidad</x:v>
      </x:c>
      <x:c r="E21" s="39" t="n">
        <x:v>4</x:v>
      </x:c>
      <x:c r="F21" s="39" t="n">
        <x:f>SUMIFS(Movimientos!$D:$D,Movimientos!$B:$B,A21,Movimientos!$C:$C,"Entrada")</x:f>
        <x:v>0</x:v>
      </x:c>
      <x:c r="G21" s="39" t="n">
        <x:f>SUMIFS(Movimientos!$D:$D,Movimientos!$B:$B,A21,Movimientos!$C:$C,"Venta")</x:f>
        <x:v>0</x:v>
      </x:c>
      <x:c r="H21" s="39" t="n">
        <x:f>E21+F21-G21</x:f>
        <x:v>4</x:v>
      </x:c>
      <x:c r="I21" s="40" t="n">
        <x:v>120000</x:v>
      </x:c>
      <x:c r="J21" s="40" t="n">
        <x:f>IFERROR(I21/E21,0)</x:f>
        <x:v>30000</x:v>
      </x:c>
      <x:c r="K21" s="40" t="n">
        <x:f>H21*J21</x:f>
        <x:v>120000</x:v>
      </x:c>
      <x:c r="L21" s="39" t="n">
        <x:v>1</x:v>
      </x:c>
      <x:c r="M21" s="38" t="str">
        <x:f>IF(H21&lt;=0,"AGOTADO",IF(H21&lt;=L21,"BAJO","OK"))</x:f>
        <x:v>OK</x:v>
      </x:c>
      <x:c r="N21" s="41" t="str"/>
    </x:row>
    <x:row r="22">
      <x:c r="A22" s="37" t="str">
        <x:v>FIL-021</x:v>
      </x:c>
      <x:c r="B22" s="38" t="str">
        <x:v>9 filtros ACPM NHR 7534 Maxter</x:v>
      </x:c>
      <x:c r="C22" s="38" t="str">
        <x:v>Filtros</x:v>
      </x:c>
      <x:c r="D22" s="38" t="str">
        <x:v>Unidad</x:v>
      </x:c>
      <x:c r="E22" s="39" t="n">
        <x:v>9</x:v>
      </x:c>
      <x:c r="F22" s="39" t="n">
        <x:f>SUMIFS(Movimientos!$D:$D,Movimientos!$B:$B,A22,Movimientos!$C:$C,"Entrada")</x:f>
        <x:v>0</x:v>
      </x:c>
      <x:c r="G22" s="39" t="n">
        <x:f>SUMIFS(Movimientos!$D:$D,Movimientos!$B:$B,A22,Movimientos!$C:$C,"Venta")</x:f>
        <x:v>0</x:v>
      </x:c>
      <x:c r="H22" s="39" t="n">
        <x:f>E22+F22-G22</x:f>
        <x:v>9</x:v>
      </x:c>
      <x:c r="I22" s="40" t="n">
        <x:v>288000</x:v>
      </x:c>
      <x:c r="J22" s="40" t="n">
        <x:f>IFERROR(I22/E22,0)</x:f>
        <x:v>32000</x:v>
      </x:c>
      <x:c r="K22" s="40" t="n">
        <x:f>H22*J22</x:f>
        <x:v>288000</x:v>
      </x:c>
      <x:c r="L22" s="39" t="n">
        <x:v>1</x:v>
      </x:c>
      <x:c r="M22" s="38" t="str">
        <x:f>IF(H22&lt;=0,"AGOTADO",IF(H22&lt;=L22,"BAJO","OK"))</x:f>
        <x:v>OK</x:v>
      </x:c>
      <x:c r="N22" s="41" t="str">
        <x:v>Referencia por revisar</x:v>
      </x:c>
    </x:row>
    <x:row r="23">
      <x:c r="A23" s="37" t="str">
        <x:v>FIL-022</x:v>
      </x:c>
      <x:c r="B23" s="38" t="str">
        <x:v>8 filtros ACPM FM 941</x:v>
      </x:c>
      <x:c r="C23" s="38" t="str">
        <x:v>Filtros</x:v>
      </x:c>
      <x:c r="D23" s="38" t="str">
        <x:v>Unidad</x:v>
      </x:c>
      <x:c r="E23" s="39" t="n">
        <x:v>8</x:v>
      </x:c>
      <x:c r="F23" s="39" t="n">
        <x:f>SUMIFS(Movimientos!$D:$D,Movimientos!$B:$B,A23,Movimientos!$C:$C,"Entrada")</x:f>
        <x:v>0</x:v>
      </x:c>
      <x:c r="G23" s="39" t="n">
        <x:f>SUMIFS(Movimientos!$D:$D,Movimientos!$B:$B,A23,Movimientos!$C:$C,"Venta")</x:f>
        <x:v>0</x:v>
      </x:c>
      <x:c r="H23" s="39" t="n">
        <x:f>E23+F23-G23</x:f>
        <x:v>8</x:v>
      </x:c>
      <x:c r="I23" s="40" t="n">
        <x:v>116000</x:v>
      </x:c>
      <x:c r="J23" s="40" t="n">
        <x:f>IFERROR(I23/E23,0)</x:f>
        <x:v>14500</x:v>
      </x:c>
      <x:c r="K23" s="40" t="n">
        <x:f>H23*J23</x:f>
        <x:v>116000</x:v>
      </x:c>
      <x:c r="L23" s="39" t="n">
        <x:v>1</x:v>
      </x:c>
      <x:c r="M23" s="38" t="str">
        <x:f>IF(H23&lt;=0,"AGOTADO",IF(H23&lt;=L23,"BAJO","OK"))</x:f>
        <x:v>OK</x:v>
      </x:c>
      <x:c r="N23" s="41" t="str"/>
    </x:row>
    <x:row r="24">
      <x:c r="A24" s="37" t="str">
        <x:v>LUB-001</x:v>
      </x:c>
      <x:c r="B24" s="38" t="str">
        <x:v>Garrafa grasa</x:v>
      </x:c>
      <x:c r="C24" s="38" t="str">
        <x:v>Lubricantes</x:v>
      </x:c>
      <x:c r="D24" s="38" t="str">
        <x:v>Unidad</x:v>
      </x:c>
      <x:c r="E24" s="39" t="n">
        <x:v>1</x:v>
      </x:c>
      <x:c r="F24" s="39" t="n">
        <x:f>SUMIFS(Movimientos!$D:$D,Movimientos!$B:$B,A24,Movimientos!$C:$C,"Entrada")</x:f>
        <x:v>0</x:v>
      </x:c>
      <x:c r="G24" s="39" t="n">
        <x:f>SUMIFS(Movimientos!$D:$D,Movimientos!$B:$B,A24,Movimientos!$C:$C,"Venta")</x:f>
        <x:v>0</x:v>
      </x:c>
      <x:c r="H24" s="39" t="n">
        <x:f>E24+F24-G24</x:f>
        <x:v>1</x:v>
      </x:c>
      <x:c r="I24" s="40" t="n">
        <x:v>172000</x:v>
      </x:c>
      <x:c r="J24" s="40" t="n">
        <x:f>IFERROR(I24/E24,0)</x:f>
        <x:v>172000</x:v>
      </x:c>
      <x:c r="K24" s="40" t="n">
        <x:f>H24*J24</x:f>
        <x:v>172000</x:v>
      </x:c>
      <x:c r="L24" s="39" t="n">
        <x:v>1</x:v>
      </x:c>
      <x:c r="M24" s="38" t="str">
        <x:f>IF(H24&lt;=0,"AGOTADO",IF(H24&lt;=L24,"BAJO","OK"))</x:f>
        <x:v>BAJO</x:v>
      </x:c>
      <x:c r="N24" s="41" t="str"/>
    </x:row>
    <x:row r="25">
      <x:c r="A25" s="37" t="str">
        <x:v>LUB-002</x:v>
      </x:c>
      <x:c r="B25" s="38" t="str">
        <x:v>14 1/4 Mobil MXO 15W40</x:v>
      </x:c>
      <x:c r="C25" s="38" t="str">
        <x:v>Lubricantes</x:v>
      </x:c>
      <x:c r="D25" s="38" t="str">
        <x:v>Unidad</x:v>
      </x:c>
      <x:c r="E25" s="39" t="n">
        <x:v>14.25</x:v>
      </x:c>
      <x:c r="F25" s="39" t="n">
        <x:f>SUMIFS(Movimientos!$D:$D,Movimientos!$B:$B,A25,Movimientos!$C:$C,"Entrada")</x:f>
        <x:v>0</x:v>
      </x:c>
      <x:c r="G25" s="39" t="n">
        <x:f>SUMIFS(Movimientos!$D:$D,Movimientos!$B:$B,A25,Movimientos!$C:$C,"Venta")</x:f>
        <x:v>0</x:v>
      </x:c>
      <x:c r="H25" s="39" t="n">
        <x:f>E25+F25-G25</x:f>
        <x:v>14.25</x:v>
      </x:c>
      <x:c r="I25" s="40" t="n">
        <x:v>2052000</x:v>
      </x:c>
      <x:c r="J25" s="40" t="n">
        <x:f>IFERROR(I25/E25,0)</x:f>
        <x:v>144000</x:v>
      </x:c>
      <x:c r="K25" s="40" t="n">
        <x:f>H25*J25</x:f>
        <x:v>2052000</x:v>
      </x:c>
      <x:c r="L25" s="39" t="n">
        <x:v>1</x:v>
      </x:c>
      <x:c r="M25" s="38" t="str">
        <x:f>IF(H25&lt;=0,"AGOTADO",IF(H25&lt;=L25,"BAJO","OK"))</x:f>
        <x:v>OK</x:v>
      </x:c>
      <x:c r="N25" s="41" t="str">
        <x:v>Cantidad interpretada como 14,25</x:v>
      </x:c>
    </x:row>
    <x:row r="26">
      <x:c r="A26" s="37" t="str">
        <x:v>LUB-003</x:v>
      </x:c>
      <x:c r="B26" s="38" t="str">
        <x:v>17 6/11 Accedelo 15W40</x:v>
      </x:c>
      <x:c r="C26" s="38" t="str">
        <x:v>Lubricantes</x:v>
      </x:c>
      <x:c r="D26" s="38" t="str">
        <x:v>Unidad</x:v>
      </x:c>
      <x:c r="E26" s="39" t="n">
        <x:v>17.5455</x:v>
      </x:c>
      <x:c r="F26" s="39" t="n">
        <x:f>SUMIFS(Movimientos!$D:$D,Movimientos!$B:$B,A26,Movimientos!$C:$C,"Entrada")</x:f>
        <x:v>0</x:v>
      </x:c>
      <x:c r="G26" s="39" t="n">
        <x:f>SUMIFS(Movimientos!$D:$D,Movimientos!$B:$B,A26,Movimientos!$C:$C,"Venta")</x:f>
        <x:v>0</x:v>
      </x:c>
      <x:c r="H26" s="39" t="n">
        <x:f>E26+F26-G26</x:f>
        <x:v>17.5455</x:v>
      </x:c>
      <x:c r="I26" s="40" t="n">
        <x:v>2816000</x:v>
      </x:c>
      <x:c r="J26" s="40" t="n">
        <x:f>IFERROR(I26/E26,0)</x:f>
        <x:v>160496.99353110485</x:v>
      </x:c>
      <x:c r="K26" s="40" t="n">
        <x:f>H26*J26</x:f>
        <x:v>2816000</x:v>
      </x:c>
      <x:c r="L26" s="39" t="n">
        <x:v>1</x:v>
      </x:c>
      <x:c r="M26" s="38" t="str">
        <x:f>IF(H26&lt;=0,"AGOTADO",IF(H26&lt;=L26,"BAJO","OK"))</x:f>
        <x:v>OK</x:v>
      </x:c>
      <x:c r="N26" s="41" t="str">
        <x:v>Cantidad fraccionaria por revisar</x:v>
      </x:c>
    </x:row>
    <x:row r="27">
      <x:c r="A27" s="37" t="str">
        <x:v>LUB-004</x:v>
      </x:c>
      <x:c r="B27" s="38" t="str">
        <x:v>14 7/9 Accedelo 80W90</x:v>
      </x:c>
      <x:c r="C27" s="38" t="str">
        <x:v>Lubricantes</x:v>
      </x:c>
      <x:c r="D27" s="38" t="str">
        <x:v>Unidad</x:v>
      </x:c>
      <x:c r="E27" s="39" t="n">
        <x:v>14.7778</x:v>
      </x:c>
      <x:c r="F27" s="39" t="n">
        <x:f>SUMIFS(Movimientos!$D:$D,Movimientos!$B:$B,A27,Movimientos!$C:$C,"Entrada")</x:f>
        <x:v>0</x:v>
      </x:c>
      <x:c r="G27" s="39" t="n">
        <x:f>SUMIFS(Movimientos!$D:$D,Movimientos!$B:$B,A27,Movimientos!$C:$C,"Venta")</x:f>
        <x:v>0</x:v>
      </x:c>
      <x:c r="H27" s="39" t="n">
        <x:f>E27+F27-G27</x:f>
        <x:v>14.7778</x:v>
      </x:c>
      <x:c r="I27" s="40" t="n">
        <x:v>357000</x:v>
      </x:c>
      <x:c r="J27" s="40" t="n">
        <x:f>IFERROR(I27/E27,0)</x:f>
        <x:v>24157.858409235476</x:v>
      </x:c>
      <x:c r="K27" s="40" t="n">
        <x:f>H27*J27</x:f>
        <x:v>357000</x:v>
      </x:c>
      <x:c r="L27" s="39" t="n">
        <x:v>1</x:v>
      </x:c>
      <x:c r="M27" s="38" t="str">
        <x:f>IF(H27&lt;=0,"AGOTADO",IF(H27&lt;=L27,"BAJO","OK"))</x:f>
        <x:v>OK</x:v>
      </x:c>
      <x:c r="N27" s="41" t="str">
        <x:v>Cantidad fraccionaria por revisar</x:v>
      </x:c>
    </x:row>
    <x:row r="28">
      <x:c r="A28" s="37" t="str">
        <x:v>LUB-005</x:v>
      </x:c>
      <x:c r="B28" s="38" t="str">
        <x:v>12 7/4 Spirax 85W140</x:v>
      </x:c>
      <x:c r="C28" s="38" t="str">
        <x:v>Lubricantes</x:v>
      </x:c>
      <x:c r="D28" s="38" t="str">
        <x:v>Unidad</x:v>
      </x:c>
      <x:c r="E28" s="39" t="n">
        <x:v>13.75</x:v>
      </x:c>
      <x:c r="F28" s="39" t="n">
        <x:f>SUMIFS(Movimientos!$D:$D,Movimientos!$B:$B,A28,Movimientos!$C:$C,"Entrada")</x:f>
        <x:v>0</x:v>
      </x:c>
      <x:c r="G28" s="39" t="n">
        <x:f>SUMIFS(Movimientos!$D:$D,Movimientos!$B:$B,A28,Movimientos!$C:$C,"Venta")</x:f>
        <x:v>0</x:v>
      </x:c>
      <x:c r="H28" s="39" t="n">
        <x:f>E28+F28-G28</x:f>
        <x:v>13.75</x:v>
      </x:c>
      <x:c r="I28" s="40" t="n">
        <x:v>561000</x:v>
      </x:c>
      <x:c r="J28" s="40" t="n">
        <x:f>IFERROR(I28/E28,0)</x:f>
        <x:v>40800</x:v>
      </x:c>
      <x:c r="K28" s="40" t="n">
        <x:f>H28*J28</x:f>
        <x:v>561000</x:v>
      </x:c>
      <x:c r="L28" s="39" t="n">
        <x:v>1</x:v>
      </x:c>
      <x:c r="M28" s="38" t="str">
        <x:f>IF(H28&lt;=0,"AGOTADO",IF(H28&lt;=L28,"BAJO","OK"))</x:f>
        <x:v>OK</x:v>
      </x:c>
      <x:c r="N28" s="41" t="str">
        <x:v>Cantidad manuscrita por revisar</x:v>
      </x:c>
    </x:row>
    <x:row r="29">
      <x:c r="A29" s="37" t="str">
        <x:v>LUB-006</x:v>
      </x:c>
      <x:c r="B29" s="38" t="str">
        <x:v>6 litros líquido DOT 4</x:v>
      </x:c>
      <x:c r="C29" s="38" t="str">
        <x:v>Químicos</x:v>
      </x:c>
      <x:c r="D29" s="38" t="str">
        <x:v>Litro</x:v>
      </x:c>
      <x:c r="E29" s="39" t="n">
        <x:v>6</x:v>
      </x:c>
      <x:c r="F29" s="39" t="n">
        <x:f>SUMIFS(Movimientos!$D:$D,Movimientos!$B:$B,A29,Movimientos!$C:$C,"Entrada")</x:f>
        <x:v>0</x:v>
      </x:c>
      <x:c r="G29" s="39" t="n">
        <x:f>SUMIFS(Movimientos!$D:$D,Movimientos!$B:$B,A29,Movimientos!$C:$C,"Venta")</x:f>
        <x:v>0</x:v>
      </x:c>
      <x:c r="H29" s="39" t="n">
        <x:f>E29+F29-G29</x:f>
        <x:v>6</x:v>
      </x:c>
      <x:c r="I29" s="40" t="n">
        <x:v>126000</x:v>
      </x:c>
      <x:c r="J29" s="40" t="n">
        <x:f>IFERROR(I29/E29,0)</x:f>
        <x:v>21000</x:v>
      </x:c>
      <x:c r="K29" s="40" t="n">
        <x:f>H29*J29</x:f>
        <x:v>126000</x:v>
      </x:c>
      <x:c r="L29" s="39" t="n">
        <x:v>1</x:v>
      </x:c>
      <x:c r="M29" s="38" t="str">
        <x:f>IF(H29&lt;=0,"AGOTADO",IF(H29&lt;=L29,"BAJO","OK"))</x:f>
        <x:v>OK</x:v>
      </x:c>
      <x:c r="N29" s="41" t="str"/>
    </x:row>
    <x:row r="30">
      <x:c r="A30" s="37" t="str">
        <x:v>LUB-007</x:v>
      </x:c>
      <x:c r="B30" s="38" t="str">
        <x:v>13 litros líquido refrigerante</x:v>
      </x:c>
      <x:c r="C30" s="38" t="str">
        <x:v>Químicos</x:v>
      </x:c>
      <x:c r="D30" s="38" t="str">
        <x:v>Litro</x:v>
      </x:c>
      <x:c r="E30" s="39" t="n">
        <x:v>13</x:v>
      </x:c>
      <x:c r="F30" s="39" t="n">
        <x:f>SUMIFS(Movimientos!$D:$D,Movimientos!$B:$B,A30,Movimientos!$C:$C,"Entrada")</x:f>
        <x:v>0</x:v>
      </x:c>
      <x:c r="G30" s="39" t="n">
        <x:f>SUMIFS(Movimientos!$D:$D,Movimientos!$B:$B,A30,Movimientos!$C:$C,"Venta")</x:f>
        <x:v>0</x:v>
      </x:c>
      <x:c r="H30" s="39" t="n">
        <x:f>E30+F30-G30</x:f>
        <x:v>13</x:v>
      </x:c>
      <x:c r="I30" s="40" t="n">
        <x:v>598000</x:v>
      </x:c>
      <x:c r="J30" s="40" t="n">
        <x:f>IFERROR(I30/E30,0)</x:f>
        <x:v>46000</x:v>
      </x:c>
      <x:c r="K30" s="40" t="n">
        <x:f>H30*J30</x:f>
        <x:v>598000</x:v>
      </x:c>
      <x:c r="L30" s="39" t="n">
        <x:v>1</x:v>
      </x:c>
      <x:c r="M30" s="38" t="str">
        <x:f>IF(H30&lt;=0,"AGOTADO",IF(H30&lt;=L30,"BAJO","OK"))</x:f>
        <x:v>OK</x:v>
      </x:c>
      <x:c r="N30" s="41" t="str"/>
    </x:row>
    <x:row r="31">
      <x:c r="A31" s="37" t="str">
        <x:v>LUB-008</x:v>
      </x:c>
      <x:c r="B31" s="38" t="str">
        <x:v>11 pintas líquido</x:v>
      </x:c>
      <x:c r="C31" s="38" t="str">
        <x:v>Químicos</x:v>
      </x:c>
      <x:c r="D31" s="38" t="str">
        <x:v>Pinta</x:v>
      </x:c>
      <x:c r="E31" s="39" t="n">
        <x:v>11</x:v>
      </x:c>
      <x:c r="F31" s="39" t="n">
        <x:f>SUMIFS(Movimientos!$D:$D,Movimientos!$B:$B,A31,Movimientos!$C:$C,"Entrada")</x:f>
        <x:v>0</x:v>
      </x:c>
      <x:c r="G31" s="39" t="n">
        <x:f>SUMIFS(Movimientos!$D:$D,Movimientos!$B:$B,A31,Movimientos!$C:$C,"Venta")</x:f>
        <x:v>0</x:v>
      </x:c>
      <x:c r="H31" s="39" t="n">
        <x:f>E31+F31-G31</x:f>
        <x:v>11</x:v>
      </x:c>
      <x:c r="I31" s="40" t="n">
        <x:v>71500</x:v>
      </x:c>
      <x:c r="J31" s="40" t="n">
        <x:f>IFERROR(I31/E31,0)</x:f>
        <x:v>6500</x:v>
      </x:c>
      <x:c r="K31" s="40" t="n">
        <x:f>H31*J31</x:f>
        <x:v>71500</x:v>
      </x:c>
      <x:c r="L31" s="39" t="n">
        <x:v>1</x:v>
      </x:c>
      <x:c r="M31" s="38" t="str">
        <x:f>IF(H31&lt;=0,"AGOTADO",IF(H31&lt;=L31,"BAJO","OK"))</x:f>
        <x:v>OK</x:v>
      </x:c>
      <x:c r="N31" s="41" t="str"/>
    </x:row>
    <x:row r="32">
      <x:c r="A32" s="37" t="str">
        <x:v>LUB-009</x:v>
      </x:c>
      <x:c r="B32" s="38" t="str">
        <x:v>4 galones urea SAE 50</x:v>
      </x:c>
      <x:c r="C32" s="38" t="str">
        <x:v>Lubricantes</x:v>
      </x:c>
      <x:c r="D32" s="38" t="str">
        <x:v>Galón</x:v>
      </x:c>
      <x:c r="E32" s="39" t="n">
        <x:v>4</x:v>
      </x:c>
      <x:c r="F32" s="39" t="n">
        <x:f>SUMIFS(Movimientos!$D:$D,Movimientos!$B:$B,A32,Movimientos!$C:$C,"Entrada")</x:f>
        <x:v>0</x:v>
      </x:c>
      <x:c r="G32" s="39" t="n">
        <x:f>SUMIFS(Movimientos!$D:$D,Movimientos!$B:$B,A32,Movimientos!$C:$C,"Venta")</x:f>
        <x:v>0</x:v>
      </x:c>
      <x:c r="H32" s="39" t="n">
        <x:f>E32+F32-G32</x:f>
        <x:v>4</x:v>
      </x:c>
      <x:c r="I32" s="40" t="n">
        <x:v>310000</x:v>
      </x:c>
      <x:c r="J32" s="40" t="n">
        <x:f>IFERROR(I32/E32,0)</x:f>
        <x:v>77500</x:v>
      </x:c>
      <x:c r="K32" s="40" t="n">
        <x:f>H32*J32</x:f>
        <x:v>310000</x:v>
      </x:c>
      <x:c r="L32" s="39" t="n">
        <x:v>1</x:v>
      </x:c>
      <x:c r="M32" s="38" t="str">
        <x:f>IF(H32&lt;=0,"AGOTADO",IF(H32&lt;=L32,"BAJO","OK"))</x:f>
        <x:v>OK</x:v>
      </x:c>
      <x:c r="N32" s="41" t="str">
        <x:v>Descripción por revisar</x:v>
      </x:c>
    </x:row>
    <x:row r="33">
      <x:c r="A33" s="37" t="str">
        <x:v>LUB-010</x:v>
      </x:c>
      <x:c r="B33" s="38" t="str">
        <x:v>6 galones Rímula</x:v>
      </x:c>
      <x:c r="C33" s="38" t="str">
        <x:v>Lubricantes</x:v>
      </x:c>
      <x:c r="D33" s="38" t="str">
        <x:v>Galón</x:v>
      </x:c>
      <x:c r="E33" s="39" t="n">
        <x:v>6</x:v>
      </x:c>
      <x:c r="F33" s="39" t="n">
        <x:f>SUMIFS(Movimientos!$D:$D,Movimientos!$B:$B,A33,Movimientos!$C:$C,"Entrada")</x:f>
        <x:v>0</x:v>
      </x:c>
      <x:c r="G33" s="39" t="n">
        <x:f>SUMIFS(Movimientos!$D:$D,Movimientos!$B:$B,A33,Movimientos!$C:$C,"Venta")</x:f>
        <x:v>0</x:v>
      </x:c>
      <x:c r="H33" s="39" t="n">
        <x:f>E33+F33-G33</x:f>
        <x:v>6</x:v>
      </x:c>
      <x:c r="I33" s="40" t="n">
        <x:v>552000</x:v>
      </x:c>
      <x:c r="J33" s="40" t="n">
        <x:f>IFERROR(I33/E33,0)</x:f>
        <x:v>92000</x:v>
      </x:c>
      <x:c r="K33" s="40" t="n">
        <x:f>H33*J33</x:f>
        <x:v>552000</x:v>
      </x:c>
      <x:c r="L33" s="39" t="n">
        <x:v>1</x:v>
      </x:c>
      <x:c r="M33" s="38" t="str">
        <x:f>IF(H33&lt;=0,"AGOTADO",IF(H33&lt;=L33,"BAJO","OK"))</x:f>
        <x:v>OK</x:v>
      </x:c>
      <x:c r="N33" s="41" t="str"/>
    </x:row>
    <x:row r="34">
      <x:c r="A34" s="37" t="str">
        <x:v>LUB-011</x:v>
      </x:c>
      <x:c r="B34" s="38" t="str">
        <x:v>4 galones refrigerante Accedelo</x:v>
      </x:c>
      <x:c r="C34" s="38" t="str">
        <x:v>Químicos</x:v>
      </x:c>
      <x:c r="D34" s="38" t="str">
        <x:v>Galón</x:v>
      </x:c>
      <x:c r="E34" s="39" t="n">
        <x:v>4</x:v>
      </x:c>
      <x:c r="F34" s="39" t="n">
        <x:f>SUMIFS(Movimientos!$D:$D,Movimientos!$B:$B,A34,Movimientos!$C:$C,"Entrada")</x:f>
        <x:v>0</x:v>
      </x:c>
      <x:c r="G34" s="39" t="n">
        <x:f>SUMIFS(Movimientos!$D:$D,Movimientos!$B:$B,A34,Movimientos!$C:$C,"Venta")</x:f>
        <x:v>0</x:v>
      </x:c>
      <x:c r="H34" s="39" t="n">
        <x:f>E34+F34-G34</x:f>
        <x:v>4</x:v>
      </x:c>
      <x:c r="I34" s="40" t="n">
        <x:v>168000</x:v>
      </x:c>
      <x:c r="J34" s="40" t="n">
        <x:f>IFERROR(I34/E34,0)</x:f>
        <x:v>42000</x:v>
      </x:c>
      <x:c r="K34" s="40" t="n">
        <x:f>H34*J34</x:f>
        <x:v>168000</x:v>
      </x:c>
      <x:c r="L34" s="39" t="n">
        <x:v>1</x:v>
      </x:c>
      <x:c r="M34" s="38" t="str">
        <x:f>IF(H34&lt;=0,"AGOTADO",IF(H34&lt;=L34,"BAJO","OK"))</x:f>
        <x:v>OK</x:v>
      </x:c>
      <x:c r="N34" s="41" t="str"/>
    </x:row>
    <x:row r="35">
      <x:c r="A35" s="37" t="str">
        <x:v>LUB-012</x:v>
      </x:c>
      <x:c r="B35" s="38" t="str">
        <x:v>15 desengrasantes</x:v>
      </x:c>
      <x:c r="C35" s="38" t="str">
        <x:v>Químicos</x:v>
      </x:c>
      <x:c r="D35" s="38" t="str">
        <x:v>Unidad</x:v>
      </x:c>
      <x:c r="E35" s="39" t="n">
        <x:v>15</x:v>
      </x:c>
      <x:c r="F35" s="39" t="n">
        <x:f>SUMIFS(Movimientos!$D:$D,Movimientos!$B:$B,A35,Movimientos!$C:$C,"Entrada")</x:f>
        <x:v>0</x:v>
      </x:c>
      <x:c r="G35" s="39" t="n">
        <x:f>SUMIFS(Movimientos!$D:$D,Movimientos!$B:$B,A35,Movimientos!$C:$C,"Venta")</x:f>
        <x:v>0</x:v>
      </x:c>
      <x:c r="H35" s="39" t="n">
        <x:f>E35+F35-G35</x:f>
        <x:v>15</x:v>
      </x:c>
      <x:c r="I35" s="40" t="n">
        <x:v>202500</x:v>
      </x:c>
      <x:c r="J35" s="40" t="n">
        <x:f>IFERROR(I35/E35,0)</x:f>
        <x:v>13500</x:v>
      </x:c>
      <x:c r="K35" s="40" t="n">
        <x:f>H35*J35</x:f>
        <x:v>202500</x:v>
      </x:c>
      <x:c r="L35" s="39" t="n">
        <x:v>1</x:v>
      </x:c>
      <x:c r="M35" s="38" t="str">
        <x:f>IF(H35&lt;=0,"AGOTADO",IF(H35&lt;=L35,"BAJO","OK"))</x:f>
        <x:v>OK</x:v>
      </x:c>
      <x:c r="N35" s="41" t="str"/>
    </x:row>
    <x:row r="36">
      <x:c r="A36" s="37" t="str">
        <x:v>LUB-013</x:v>
      </x:c>
      <x:c r="B36" s="38" t="str">
        <x:v>40 grasa Starplex</x:v>
      </x:c>
      <x:c r="C36" s="38" t="str">
        <x:v>Lubricantes</x:v>
      </x:c>
      <x:c r="D36" s="38" t="str">
        <x:v>Unidad</x:v>
      </x:c>
      <x:c r="E36" s="39" t="n">
        <x:v>40</x:v>
      </x:c>
      <x:c r="F36" s="39" t="n">
        <x:f>SUMIFS(Movimientos!$D:$D,Movimientos!$B:$B,A36,Movimientos!$C:$C,"Entrada")</x:f>
        <x:v>0</x:v>
      </x:c>
      <x:c r="G36" s="39" t="n">
        <x:f>SUMIFS(Movimientos!$D:$D,Movimientos!$B:$B,A36,Movimientos!$C:$C,"Venta")</x:f>
        <x:v>0</x:v>
      </x:c>
      <x:c r="H36" s="39" t="n">
        <x:f>E36+F36-G36</x:f>
        <x:v>40</x:v>
      </x:c>
      <x:c r="I36" s="40" t="n">
        <x:v>760000</x:v>
      </x:c>
      <x:c r="J36" s="40" t="n">
        <x:f>IFERROR(I36/E36,0)</x:f>
        <x:v>19000</x:v>
      </x:c>
      <x:c r="K36" s="40" t="n">
        <x:f>H36*J36</x:f>
        <x:v>760000</x:v>
      </x:c>
      <x:c r="L36" s="39" t="n">
        <x:v>1</x:v>
      </x:c>
      <x:c r="M36" s="38" t="str">
        <x:f>IF(H36&lt;=0,"AGOTADO",IF(H36&lt;=L36,"BAJO","OK"))</x:f>
        <x:v>OK</x:v>
      </x:c>
      <x:c r="N36" s="41" t="str"/>
    </x:row>
    <x:row r="37">
      <x:c r="A37" s="37" t="str">
        <x:v>LUB-014</x:v>
      </x:c>
      <x:c r="B37" s="38" t="str">
        <x:v>3 grasa SKF</x:v>
      </x:c>
      <x:c r="C37" s="38" t="str">
        <x:v>Lubricantes</x:v>
      </x:c>
      <x:c r="D37" s="38" t="str">
        <x:v>Unidad</x:v>
      </x:c>
      <x:c r="E37" s="39" t="n">
        <x:v>3</x:v>
      </x:c>
      <x:c r="F37" s="39" t="n">
        <x:f>SUMIFS(Movimientos!$D:$D,Movimientos!$B:$B,A37,Movimientos!$C:$C,"Entrada")</x:f>
        <x:v>0</x:v>
      </x:c>
      <x:c r="G37" s="39" t="n">
        <x:f>SUMIFS(Movimientos!$D:$D,Movimientos!$B:$B,A37,Movimientos!$C:$C,"Venta")</x:f>
        <x:v>0</x:v>
      </x:c>
      <x:c r="H37" s="39" t="n">
        <x:f>E37+F37-G37</x:f>
        <x:v>3</x:v>
      </x:c>
      <x:c r="I37" s="40" t="n">
        <x:v>75000</x:v>
      </x:c>
      <x:c r="J37" s="40" t="n">
        <x:f>IFERROR(I37/E37,0)</x:f>
        <x:v>25000</x:v>
      </x:c>
      <x:c r="K37" s="40" t="n">
        <x:f>H37*J37</x:f>
        <x:v>75000</x:v>
      </x:c>
      <x:c r="L37" s="39" t="n">
        <x:v>1</x:v>
      </x:c>
      <x:c r="M37" s="38" t="str">
        <x:f>IF(H37&lt;=0,"AGOTADO",IF(H37&lt;=L37,"BAJO","OK"))</x:f>
        <x:v>OK</x:v>
      </x:c>
      <x:c r="N37" s="41" t="str"/>
    </x:row>
    <x:row r="38">
      <x:c r="A38" s="37" t="str">
        <x:v>RET-001</x:v>
      </x:c>
      <x:c r="B38" s="38" t="str">
        <x:v>Retenedor trasero interior Hino 500</x:v>
      </x:c>
      <x:c r="C38" s="38" t="str">
        <x:v>Retenedores</x:v>
      </x:c>
      <x:c r="D38" s="38" t="str">
        <x:v>Unidad</x:v>
      </x:c>
      <x:c r="E38" s="39" t="n">
        <x:v>14</x:v>
      </x:c>
      <x:c r="F38" s="39" t="n">
        <x:f>SUMIFS(Movimientos!$D:$D,Movimientos!$B:$B,A38,Movimientos!$C:$C,"Entrada")</x:f>
        <x:v>0</x:v>
      </x:c>
      <x:c r="G38" s="39" t="n">
        <x:f>SUMIFS(Movimientos!$D:$D,Movimientos!$B:$B,A38,Movimientos!$C:$C,"Venta")</x:f>
        <x:v>0</x:v>
      </x:c>
      <x:c r="H38" s="39" t="n">
        <x:f>E38+F38-G38</x:f>
        <x:v>14</x:v>
      </x:c>
      <x:c r="I38" s="40" t="n">
        <x:v>210000</x:v>
      </x:c>
      <x:c r="J38" s="40" t="n">
        <x:f>IFERROR(I38/E38,0)</x:f>
        <x:v>15000</x:v>
      </x:c>
      <x:c r="K38" s="40" t="n">
        <x:f>H38*J38</x:f>
        <x:v>210000</x:v>
      </x:c>
      <x:c r="L38" s="39" t="n">
        <x:v>1</x:v>
      </x:c>
      <x:c r="M38" s="38" t="str">
        <x:f>IF(H38&lt;=0,"AGOTADO",IF(H38&lt;=L38,"BAJO","OK"))</x:f>
        <x:v>OK</x:v>
      </x:c>
      <x:c r="N38" s="41" t="str"/>
    </x:row>
    <x:row r="39">
      <x:c r="A39" s="37" t="str">
        <x:v>RET-002</x:v>
      </x:c>
      <x:c r="B39" s="38" t="str">
        <x:v>Retenedor diferencial Hino 500-300</x:v>
      </x:c>
      <x:c r="C39" s="38" t="str">
        <x:v>Retenedores</x:v>
      </x:c>
      <x:c r="D39" s="38" t="str">
        <x:v>Unidad</x:v>
      </x:c>
      <x:c r="E39" s="39" t="n">
        <x:v>11</x:v>
      </x:c>
      <x:c r="F39" s="39" t="n">
        <x:f>SUMIFS(Movimientos!$D:$D,Movimientos!$B:$B,A39,Movimientos!$C:$C,"Entrada")</x:f>
        <x:v>0</x:v>
      </x:c>
      <x:c r="G39" s="39" t="n">
        <x:f>SUMIFS(Movimientos!$D:$D,Movimientos!$B:$B,A39,Movimientos!$C:$C,"Venta")</x:f>
        <x:v>0</x:v>
      </x:c>
      <x:c r="H39" s="39" t="n">
        <x:f>E39+F39-G39</x:f>
        <x:v>11</x:v>
      </x:c>
      <x:c r="I39" s="40" t="n">
        <x:v>110000</x:v>
      </x:c>
      <x:c r="J39" s="40" t="n">
        <x:f>IFERROR(I39/E39,0)</x:f>
        <x:v>10000</x:v>
      </x:c>
      <x:c r="K39" s="40" t="n">
        <x:f>H39*J39</x:f>
        <x:v>110000</x:v>
      </x:c>
      <x:c r="L39" s="39" t="n">
        <x:v>1</x:v>
      </x:c>
      <x:c r="M39" s="38" t="str">
        <x:f>IF(H39&lt;=0,"AGOTADO",IF(H39&lt;=L39,"BAJO","OK"))</x:f>
        <x:v>OK</x:v>
      </x:c>
      <x:c r="N39" s="41" t="str"/>
    </x:row>
    <x:row r="40">
      <x:c r="A40" s="37" t="str">
        <x:v>RET-003</x:v>
      </x:c>
      <x:c r="B40" s="38" t="str">
        <x:v>Retenedor diferencial NPR-NQR</x:v>
      </x:c>
      <x:c r="C40" s="38" t="str">
        <x:v>Retenedores</x:v>
      </x:c>
      <x:c r="D40" s="38" t="str">
        <x:v>Unidad</x:v>
      </x:c>
      <x:c r="E40" s="39" t="n">
        <x:v>6</x:v>
      </x:c>
      <x:c r="F40" s="39" t="n">
        <x:f>SUMIFS(Movimientos!$D:$D,Movimientos!$B:$B,A40,Movimientos!$C:$C,"Entrada")</x:f>
        <x:v>0</x:v>
      </x:c>
      <x:c r="G40" s="39" t="n">
        <x:f>SUMIFS(Movimientos!$D:$D,Movimientos!$B:$B,A40,Movimientos!$C:$C,"Venta")</x:f>
        <x:v>0</x:v>
      </x:c>
      <x:c r="H40" s="39" t="n">
        <x:f>E40+F40-G40</x:f>
        <x:v>6</x:v>
      </x:c>
      <x:c r="I40" s="40" t="n">
        <x:v>48000</x:v>
      </x:c>
      <x:c r="J40" s="40" t="n">
        <x:f>IFERROR(I40/E40,0)</x:f>
        <x:v>8000</x:v>
      </x:c>
      <x:c r="K40" s="40" t="n">
        <x:f>H40*J40</x:f>
        <x:v>48000</x:v>
      </x:c>
      <x:c r="L40" s="39" t="n">
        <x:v>1</x:v>
      </x:c>
      <x:c r="M40" s="38" t="str">
        <x:f>IF(H40&lt;=0,"AGOTADO",IF(H40&lt;=L40,"BAJO","OK"))</x:f>
        <x:v>OK</x:v>
      </x:c>
      <x:c r="N40" s="41" t="str"/>
    </x:row>
    <x:row r="41">
      <x:c r="A41" s="37" t="str">
        <x:v>RET-004</x:v>
      </x:c>
      <x:c r="B41" s="38" t="str">
        <x:v>Retenedor trasero exterior NPR-NQR</x:v>
      </x:c>
      <x:c r="C41" s="38" t="str">
        <x:v>Retenedores</x:v>
      </x:c>
      <x:c r="D41" s="38" t="str">
        <x:v>Unidad</x:v>
      </x:c>
      <x:c r="E41" s="39" t="n">
        <x:v>8</x:v>
      </x:c>
      <x:c r="F41" s="39" t="n">
        <x:f>SUMIFS(Movimientos!$D:$D,Movimientos!$B:$B,A41,Movimientos!$C:$C,"Entrada")</x:f>
        <x:v>0</x:v>
      </x:c>
      <x:c r="G41" s="39" t="n">
        <x:f>SUMIFS(Movimientos!$D:$D,Movimientos!$B:$B,A41,Movimientos!$C:$C,"Venta")</x:f>
        <x:v>0</x:v>
      </x:c>
      <x:c r="H41" s="39" t="n">
        <x:f>E41+F41-G41</x:f>
        <x:v>8</x:v>
      </x:c>
      <x:c r="I41" s="40" t="n">
        <x:v>96000</x:v>
      </x:c>
      <x:c r="J41" s="40" t="n">
        <x:f>IFERROR(I41/E41,0)</x:f>
        <x:v>12000</x:v>
      </x:c>
      <x:c r="K41" s="40" t="n">
        <x:f>H41*J41</x:f>
        <x:v>96000</x:v>
      </x:c>
      <x:c r="L41" s="39" t="n">
        <x:v>1</x:v>
      </x:c>
      <x:c r="M41" s="38" t="str">
        <x:f>IF(H41&lt;=0,"AGOTADO",IF(H41&lt;=L41,"BAJO","OK"))</x:f>
        <x:v>OK</x:v>
      </x:c>
      <x:c r="N41" s="41" t="str"/>
    </x:row>
    <x:row r="42">
      <x:c r="A42" s="37" t="str">
        <x:v>RET-005</x:v>
      </x:c>
      <x:c r="B42" s="38" t="str">
        <x:v>Retenedor trasero exterior NKR-NHR</x:v>
      </x:c>
      <x:c r="C42" s="38" t="str">
        <x:v>Retenedores</x:v>
      </x:c>
      <x:c r="D42" s="38" t="str">
        <x:v>Unidad</x:v>
      </x:c>
      <x:c r="E42" s="39" t="n">
        <x:v>6</x:v>
      </x:c>
      <x:c r="F42" s="39" t="n">
        <x:f>SUMIFS(Movimientos!$D:$D,Movimientos!$B:$B,A42,Movimientos!$C:$C,"Entrada")</x:f>
        <x:v>0</x:v>
      </x:c>
      <x:c r="G42" s="39" t="n">
        <x:f>SUMIFS(Movimientos!$D:$D,Movimientos!$B:$B,A42,Movimientos!$C:$C,"Venta")</x:f>
        <x:v>0</x:v>
      </x:c>
      <x:c r="H42" s="39" t="n">
        <x:f>E42+F42-G42</x:f>
        <x:v>6</x:v>
      </x:c>
      <x:c r="I42" s="40" t="n">
        <x:v>72000</x:v>
      </x:c>
      <x:c r="J42" s="40" t="n">
        <x:f>IFERROR(I42/E42,0)</x:f>
        <x:v>12000</x:v>
      </x:c>
      <x:c r="K42" s="40" t="n">
        <x:f>H42*J42</x:f>
        <x:v>72000</x:v>
      </x:c>
      <x:c r="L42" s="39" t="n">
        <x:v>1</x:v>
      </x:c>
      <x:c r="M42" s="38" t="str">
        <x:f>IF(H42&lt;=0,"AGOTADO",IF(H42&lt;=L42,"BAJO","OK"))</x:f>
        <x:v>OK</x:v>
      </x:c>
      <x:c r="N42" s="41" t="str"/>
    </x:row>
    <x:row r="43">
      <x:c r="A43" s="37" t="str">
        <x:v>RET-006</x:v>
      </x:c>
      <x:c r="B43" s="38" t="str">
        <x:v>Retenedor diferencial Delta</x:v>
      </x:c>
      <x:c r="C43" s="38" t="str">
        <x:v>Retenedores</x:v>
      </x:c>
      <x:c r="D43" s="38" t="str">
        <x:v>Unidad</x:v>
      </x:c>
      <x:c r="E43" s="39" t="n">
        <x:v>5</x:v>
      </x:c>
      <x:c r="F43" s="39" t="n">
        <x:f>SUMIFS(Movimientos!$D:$D,Movimientos!$B:$B,A43,Movimientos!$C:$C,"Entrada")</x:f>
        <x:v>0</x:v>
      </x:c>
      <x:c r="G43" s="39" t="n">
        <x:f>SUMIFS(Movimientos!$D:$D,Movimientos!$B:$B,A43,Movimientos!$C:$C,"Venta")</x:f>
        <x:v>0</x:v>
      </x:c>
      <x:c r="H43" s="39" t="n">
        <x:f>E43+F43-G43</x:f>
        <x:v>5</x:v>
      </x:c>
      <x:c r="I43" s="40" t="n">
        <x:v>40000</x:v>
      </x:c>
      <x:c r="J43" s="40" t="n">
        <x:f>IFERROR(I43/E43,0)</x:f>
        <x:v>8000</x:v>
      </x:c>
      <x:c r="K43" s="40" t="n">
        <x:f>H43*J43</x:f>
        <x:v>40000</x:v>
      </x:c>
      <x:c r="L43" s="39" t="n">
        <x:v>1</x:v>
      </x:c>
      <x:c r="M43" s="38" t="str">
        <x:f>IF(H43&lt;=0,"AGOTADO",IF(H43&lt;=L43,"BAJO","OK"))</x:f>
        <x:v>OK</x:v>
      </x:c>
      <x:c r="N43" s="41" t="str"/>
    </x:row>
    <x:row r="44">
      <x:c r="A44" s="37" t="str">
        <x:v>RET-007</x:v>
      </x:c>
      <x:c r="B44" s="38" t="str">
        <x:v>Retenedor trasero 20504 VCD NQR</x:v>
      </x:c>
      <x:c r="C44" s="38" t="str">
        <x:v>Retenedores</x:v>
      </x:c>
      <x:c r="D44" s="38" t="str">
        <x:v>Unidad</x:v>
      </x:c>
      <x:c r="E44" s="39" t="n">
        <x:v>12</x:v>
      </x:c>
      <x:c r="F44" s="39" t="n">
        <x:f>SUMIFS(Movimientos!$D:$D,Movimientos!$B:$B,A44,Movimientos!$C:$C,"Entrada")</x:f>
        <x:v>0</x:v>
      </x:c>
      <x:c r="G44" s="39" t="n">
        <x:f>SUMIFS(Movimientos!$D:$D,Movimientos!$B:$B,A44,Movimientos!$C:$C,"Venta")</x:f>
        <x:v>0</x:v>
      </x:c>
      <x:c r="H44" s="39" t="n">
        <x:f>E44+F44-G44</x:f>
        <x:v>12</x:v>
      </x:c>
      <x:c r="I44" s="40" t="n">
        <x:v>480000</x:v>
      </x:c>
      <x:c r="J44" s="40" t="n">
        <x:f>IFERROR(I44/E44,0)</x:f>
        <x:v>40000</x:v>
      </x:c>
      <x:c r="K44" s="40" t="n">
        <x:f>H44*J44</x:f>
        <x:v>480000</x:v>
      </x:c>
      <x:c r="L44" s="39" t="n">
        <x:v>1</x:v>
      </x:c>
      <x:c r="M44" s="38" t="str">
        <x:f>IF(H44&lt;=0,"AGOTADO",IF(H44&lt;=L44,"BAJO","OK"))</x:f>
        <x:v>OK</x:v>
      </x:c>
      <x:c r="N44" s="41" t="str">
        <x:v>Referencia por revisar</x:v>
      </x:c>
    </x:row>
    <x:row r="45">
      <x:c r="A45" s="37" t="str">
        <x:v>RET-008</x:v>
      </x:c>
      <x:c r="B45" s="38" t="str">
        <x:v>Retenedor trasero 20504 FIT</x:v>
      </x:c>
      <x:c r="C45" s="38" t="str">
        <x:v>Retenedores</x:v>
      </x:c>
      <x:c r="D45" s="38" t="str">
        <x:v>Unidad</x:v>
      </x:c>
      <x:c r="E45" s="39" t="n">
        <x:v>4</x:v>
      </x:c>
      <x:c r="F45" s="39" t="n">
        <x:f>SUMIFS(Movimientos!$D:$D,Movimientos!$B:$B,A45,Movimientos!$C:$C,"Entrada")</x:f>
        <x:v>0</x:v>
      </x:c>
      <x:c r="G45" s="39" t="n">
        <x:f>SUMIFS(Movimientos!$D:$D,Movimientos!$B:$B,A45,Movimientos!$C:$C,"Venta")</x:f>
        <x:v>0</x:v>
      </x:c>
      <x:c r="H45" s="39" t="n">
        <x:f>E45+F45-G45</x:f>
        <x:v>4</x:v>
      </x:c>
      <x:c r="I45" s="40" t="n">
        <x:v>100000</x:v>
      </x:c>
      <x:c r="J45" s="40" t="n">
        <x:f>IFERROR(I45/E45,0)</x:f>
        <x:v>25000</x:v>
      </x:c>
      <x:c r="K45" s="40" t="n">
        <x:f>H45*J45</x:f>
        <x:v>100000</x:v>
      </x:c>
      <x:c r="L45" s="39" t="n">
        <x:v>1</x:v>
      </x:c>
      <x:c r="M45" s="38" t="str">
        <x:f>IF(H45&lt;=0,"AGOTADO",IF(H45&lt;=L45,"BAJO","OK"))</x:f>
        <x:v>OK</x:v>
      </x:c>
      <x:c r="N45" s="41" t="str">
        <x:v>Referencia por revisar</x:v>
      </x:c>
    </x:row>
    <x:row r="46">
      <x:c r="A46" s="37" t="str">
        <x:v>RET-009</x:v>
      </x:c>
      <x:c r="B46" s="38" t="str">
        <x:v>Retenedor trasero interior NPR original</x:v>
      </x:c>
      <x:c r="C46" s="38" t="str">
        <x:v>Retenedores</x:v>
      </x:c>
      <x:c r="D46" s="38" t="str">
        <x:v>Unidad</x:v>
      </x:c>
      <x:c r="E46" s="39" t="n">
        <x:v>6</x:v>
      </x:c>
      <x:c r="F46" s="39" t="n">
        <x:f>SUMIFS(Movimientos!$D:$D,Movimientos!$B:$B,A46,Movimientos!$C:$C,"Entrada")</x:f>
        <x:v>0</x:v>
      </x:c>
      <x:c r="G46" s="39" t="n">
        <x:f>SUMIFS(Movimientos!$D:$D,Movimientos!$B:$B,A46,Movimientos!$C:$C,"Venta")</x:f>
        <x:v>0</x:v>
      </x:c>
      <x:c r="H46" s="39" t="n">
        <x:f>E46+F46-G46</x:f>
        <x:v>6</x:v>
      </x:c>
      <x:c r="I46" s="40" t="n">
        <x:v>156000</x:v>
      </x:c>
      <x:c r="J46" s="40" t="n">
        <x:f>IFERROR(I46/E46,0)</x:f>
        <x:v>26000</x:v>
      </x:c>
      <x:c r="K46" s="40" t="n">
        <x:f>H46*J46</x:f>
        <x:v>156000</x:v>
      </x:c>
      <x:c r="L46" s="39" t="n">
        <x:v>1</x:v>
      </x:c>
      <x:c r="M46" s="38" t="str">
        <x:f>IF(H46&lt;=0,"AGOTADO",IF(H46&lt;=L46,"BAJO","OK"))</x:f>
        <x:v>OK</x:v>
      </x:c>
      <x:c r="N46" s="41" t="str"/>
    </x:row>
    <x:row r="47">
      <x:c r="A47" s="37" t="str">
        <x:v>RET-010</x:v>
      </x:c>
      <x:c r="B47" s="38" t="str">
        <x:v>Retenedor trasero FTR</x:v>
      </x:c>
      <x:c r="C47" s="38" t="str">
        <x:v>Retenedores</x:v>
      </x:c>
      <x:c r="D47" s="38" t="str">
        <x:v>Unidad</x:v>
      </x:c>
      <x:c r="E47" s="39" t="n">
        <x:v>2</x:v>
      </x:c>
      <x:c r="F47" s="39" t="n">
        <x:f>SUMIFS(Movimientos!$D:$D,Movimientos!$B:$B,A47,Movimientos!$C:$C,"Entrada")</x:f>
        <x:v>0</x:v>
      </x:c>
      <x:c r="G47" s="39" t="n">
        <x:f>SUMIFS(Movimientos!$D:$D,Movimientos!$B:$B,A47,Movimientos!$C:$C,"Venta")</x:f>
        <x:v>0</x:v>
      </x:c>
      <x:c r="H47" s="39" t="n">
        <x:f>E47+F47-G47</x:f>
        <x:v>2</x:v>
      </x:c>
      <x:c r="I47" s="40" t="n">
        <x:v>48000</x:v>
      </x:c>
      <x:c r="J47" s="40" t="n">
        <x:f>IFERROR(I47/E47,0)</x:f>
        <x:v>24000</x:v>
      </x:c>
      <x:c r="K47" s="40" t="n">
        <x:f>H47*J47</x:f>
        <x:v>48000</x:v>
      </x:c>
      <x:c r="L47" s="39" t="n">
        <x:v>1</x:v>
      </x:c>
      <x:c r="M47" s="38" t="str">
        <x:f>IF(H47&lt;=0,"AGOTADO",IF(H47&lt;=L47,"BAJO","OK"))</x:f>
        <x:v>OK</x:v>
      </x:c>
      <x:c r="N47" s="41" t="str"/>
    </x:row>
    <x:row r="48">
      <x:c r="A48" s="37" t="str">
        <x:v>RET-011</x:v>
      </x:c>
      <x:c r="B48" s="38" t="str">
        <x:v>Retenedor diferencial FTR original</x:v>
      </x:c>
      <x:c r="C48" s="38" t="str">
        <x:v>Retenedores</x:v>
      </x:c>
      <x:c r="D48" s="38" t="str">
        <x:v>Unidad</x:v>
      </x:c>
      <x:c r="E48" s="39" t="n">
        <x:v>2</x:v>
      </x:c>
      <x:c r="F48" s="39" t="n">
        <x:f>SUMIFS(Movimientos!$D:$D,Movimientos!$B:$B,A48,Movimientos!$C:$C,"Entrada")</x:f>
        <x:v>0</x:v>
      </x:c>
      <x:c r="G48" s="39" t="n">
        <x:f>SUMIFS(Movimientos!$D:$D,Movimientos!$B:$B,A48,Movimientos!$C:$C,"Venta")</x:f>
        <x:v>0</x:v>
      </x:c>
      <x:c r="H48" s="39" t="n">
        <x:f>E48+F48-G48</x:f>
        <x:v>2</x:v>
      </x:c>
      <x:c r="I48" s="40" t="n">
        <x:v>52000</x:v>
      </x:c>
      <x:c r="J48" s="40" t="n">
        <x:f>IFERROR(I48/E48,0)</x:f>
        <x:v>26000</x:v>
      </x:c>
      <x:c r="K48" s="40" t="n">
        <x:f>H48*J48</x:f>
        <x:v>52000</x:v>
      </x:c>
      <x:c r="L48" s="39" t="n">
        <x:v>1</x:v>
      </x:c>
      <x:c r="M48" s="38" t="str">
        <x:f>IF(H48&lt;=0,"AGOTADO",IF(H48&lt;=L48,"BAJO","OK"))</x:f>
        <x:v>OK</x:v>
      </x:c>
      <x:c r="N48" s="41" t="str"/>
    </x:row>
    <x:row r="49">
      <x:c r="A49" s="37" t="str">
        <x:v>RET-012</x:v>
      </x:c>
      <x:c r="B49" s="38" t="str">
        <x:v>Retenedor trasero interior Hyundai</x:v>
      </x:c>
      <x:c r="C49" s="38" t="str">
        <x:v>Retenedores</x:v>
      </x:c>
      <x:c r="D49" s="38" t="str">
        <x:v>Unidad</x:v>
      </x:c>
      <x:c r="E49" s="39" t="n">
        <x:v>3</x:v>
      </x:c>
      <x:c r="F49" s="39" t="n">
        <x:f>SUMIFS(Movimientos!$D:$D,Movimientos!$B:$B,A49,Movimientos!$C:$C,"Entrada")</x:f>
        <x:v>0</x:v>
      </x:c>
      <x:c r="G49" s="39" t="n">
        <x:f>SUMIFS(Movimientos!$D:$D,Movimientos!$B:$B,A49,Movimientos!$C:$C,"Venta")</x:f>
        <x:v>0</x:v>
      </x:c>
      <x:c r="H49" s="39" t="n">
        <x:f>E49+F49-G49</x:f>
        <x:v>3</x:v>
      </x:c>
      <x:c r="I49" s="40" t="n">
        <x:v>90000</x:v>
      </x:c>
      <x:c r="J49" s="40" t="n">
        <x:f>IFERROR(I49/E49,0)</x:f>
        <x:v>30000</x:v>
      </x:c>
      <x:c r="K49" s="40" t="n">
        <x:f>H49*J49</x:f>
        <x:v>90000</x:v>
      </x:c>
      <x:c r="L49" s="39" t="n">
        <x:v>1</x:v>
      </x:c>
      <x:c r="M49" s="38" t="str">
        <x:f>IF(H49&lt;=0,"AGOTADO",IF(H49&lt;=L49,"BAJO","OK"))</x:f>
        <x:v>OK</x:v>
      </x:c>
      <x:c r="N49" s="41" t="str"/>
    </x:row>
    <x:row r="50">
      <x:c r="A50" s="37" t="str">
        <x:v>RET-013</x:v>
      </x:c>
      <x:c r="B50" s="38" t="str">
        <x:v>Retenedor diferencial Hyundai</x:v>
      </x:c>
      <x:c r="C50" s="38" t="str">
        <x:v>Retenedores</x:v>
      </x:c>
      <x:c r="D50" s="38" t="str">
        <x:v>Unidad</x:v>
      </x:c>
      <x:c r="E50" s="39" t="n">
        <x:v>8</x:v>
      </x:c>
      <x:c r="F50" s="39" t="n">
        <x:f>SUMIFS(Movimientos!$D:$D,Movimientos!$B:$B,A50,Movimientos!$C:$C,"Entrada")</x:f>
        <x:v>0</x:v>
      </x:c>
      <x:c r="G50" s="39" t="n">
        <x:f>SUMIFS(Movimientos!$D:$D,Movimientos!$B:$B,A50,Movimientos!$C:$C,"Venta")</x:f>
        <x:v>0</x:v>
      </x:c>
      <x:c r="H50" s="39" t="n">
        <x:f>E50+F50-G50</x:f>
        <x:v>8</x:v>
      </x:c>
      <x:c r="I50" s="40" t="n">
        <x:v>64000</x:v>
      </x:c>
      <x:c r="J50" s="40" t="n">
        <x:f>IFERROR(I50/E50,0)</x:f>
        <x:v>8000</x:v>
      </x:c>
      <x:c r="K50" s="40" t="n">
        <x:f>H50*J50</x:f>
        <x:v>64000</x:v>
      </x:c>
      <x:c r="L50" s="39" t="n">
        <x:v>1</x:v>
      </x:c>
      <x:c r="M50" s="38" t="str">
        <x:f>IF(H50&lt;=0,"AGOTADO",IF(H50&lt;=L50,"BAJO","OK"))</x:f>
        <x:v>OK</x:v>
      </x:c>
      <x:c r="N50" s="41" t="str"/>
    </x:row>
    <x:row r="51">
      <x:c r="A51" s="37" t="str">
        <x:v>REF-32207</x:v>
      </x:c>
      <x:c r="B51" s="38" t="str">
        <x:v>Referencia 32207</x:v>
      </x:c>
      <x:c r="C51" s="38" t="str">
        <x:v>Repuestos</x:v>
      </x:c>
      <x:c r="D51" s="38" t="str">
        <x:v>Unidad</x:v>
      </x:c>
      <x:c r="E51" s="39" t="n">
        <x:v>5</x:v>
      </x:c>
      <x:c r="F51" s="39" t="n">
        <x:f>SUMIFS(Movimientos!$D:$D,Movimientos!$B:$B,A51,Movimientos!$C:$C,"Entrada")</x:f>
        <x:v>0</x:v>
      </x:c>
      <x:c r="G51" s="39" t="n">
        <x:f>SUMIFS(Movimientos!$D:$D,Movimientos!$B:$B,A51,Movimientos!$C:$C,"Venta")</x:f>
        <x:v>0</x:v>
      </x:c>
      <x:c r="H51" s="39" t="n">
        <x:f>E51+F51-G51</x:f>
        <x:v>5</x:v>
      </x:c>
      <x:c r="I51" s="40" t="n">
        <x:v>235000</x:v>
      </x:c>
      <x:c r="J51" s="40" t="n">
        <x:f>IFERROR(I51/E51,0)</x:f>
        <x:v>47000</x:v>
      </x:c>
      <x:c r="K51" s="40" t="n">
        <x:f>H51*J51</x:f>
        <x:v>235000</x:v>
      </x:c>
      <x:c r="L51" s="39" t="n">
        <x:v>1</x:v>
      </x:c>
      <x:c r="M51" s="38" t="str">
        <x:f>IF(H51&lt;=0,"AGOTADO",IF(H51&lt;=L51,"BAJO","OK"))</x:f>
        <x:v>OK</x:v>
      </x:c>
      <x:c r="N51" s="41" t="str">
        <x:v>Sin descripción en imagen</x:v>
      </x:c>
    </x:row>
    <x:row r="52">
      <x:c r="A52" s="37" t="str">
        <x:v>REF-32240</x:v>
      </x:c>
      <x:c r="B52" s="38" t="str">
        <x:v>Referencia 32240</x:v>
      </x:c>
      <x:c r="C52" s="38" t="str">
        <x:v>Repuestos</x:v>
      </x:c>
      <x:c r="D52" s="38" t="str">
        <x:v>Unidad</x:v>
      </x:c>
      <x:c r="E52" s="39" t="n">
        <x:v>1</x:v>
      </x:c>
      <x:c r="F52" s="39" t="n">
        <x:f>SUMIFS(Movimientos!$D:$D,Movimientos!$B:$B,A52,Movimientos!$C:$C,"Entrada")</x:f>
        <x:v>0</x:v>
      </x:c>
      <x:c r="G52" s="39" t="n">
        <x:f>SUMIFS(Movimientos!$D:$D,Movimientos!$B:$B,A52,Movimientos!$C:$C,"Venta")</x:f>
        <x:v>0</x:v>
      </x:c>
      <x:c r="H52" s="39" t="n">
        <x:f>E52+F52-G52</x:f>
        <x:v>1</x:v>
      </x:c>
      <x:c r="I52" s="40" t="n">
        <x:v>58000</x:v>
      </x:c>
      <x:c r="J52" s="40" t="n">
        <x:f>IFERROR(I52/E52,0)</x:f>
        <x:v>58000</x:v>
      </x:c>
      <x:c r="K52" s="40" t="n">
        <x:f>H52*J52</x:f>
        <x:v>58000</x:v>
      </x:c>
      <x:c r="L52" s="39" t="n">
        <x:v>1</x:v>
      </x:c>
      <x:c r="M52" s="38" t="str">
        <x:f>IF(H52&lt;=0,"AGOTADO",IF(H52&lt;=L52,"BAJO","OK"))</x:f>
        <x:v>BAJO</x:v>
      </x:c>
      <x:c r="N52" s="41" t="str">
        <x:v>Sin descripción en imagen</x:v>
      </x:c>
    </x:row>
    <x:row r="53">
      <x:c r="A53" s="37" t="str">
        <x:v>REF-28680</x:v>
      </x:c>
      <x:c r="B53" s="38" t="str">
        <x:v>Referencia 28680</x:v>
      </x:c>
      <x:c r="C53" s="38" t="str">
        <x:v>Repuestos</x:v>
      </x:c>
      <x:c r="D53" s="38" t="str">
        <x:v>Unidad</x:v>
      </x:c>
      <x:c r="E53" s="39" t="n">
        <x:v>2</x:v>
      </x:c>
      <x:c r="F53" s="39" t="n">
        <x:f>SUMIFS(Movimientos!$D:$D,Movimientos!$B:$B,A53,Movimientos!$C:$C,"Entrada")</x:f>
        <x:v>0</x:v>
      </x:c>
      <x:c r="G53" s="39" t="n">
        <x:f>SUMIFS(Movimientos!$D:$D,Movimientos!$B:$B,A53,Movimientos!$C:$C,"Venta")</x:f>
        <x:v>0</x:v>
      </x:c>
      <x:c r="H53" s="39" t="n">
        <x:f>E53+F53-G53</x:f>
        <x:v>2</x:v>
      </x:c>
      <x:c r="I53" s="40" t="n">
        <x:v>190000</x:v>
      </x:c>
      <x:c r="J53" s="40" t="n">
        <x:f>IFERROR(I53/E53,0)</x:f>
        <x:v>95000</x:v>
      </x:c>
      <x:c r="K53" s="40" t="n">
        <x:f>H53*J53</x:f>
        <x:v>190000</x:v>
      </x:c>
      <x:c r="L53" s="39" t="n">
        <x:v>1</x:v>
      </x:c>
      <x:c r="M53" s="38" t="str">
        <x:f>IF(H53&lt;=0,"AGOTADO",IF(H53&lt;=L53,"BAJO","OK"))</x:f>
        <x:v>OK</x:v>
      </x:c>
      <x:c r="N53" s="41" t="str">
        <x:v>Sin descripción en imagen</x:v>
      </x:c>
    </x:row>
    <x:row r="54">
      <x:c r="A54" s="37" t="str">
        <x:v>REF-29586</x:v>
      </x:c>
      <x:c r="B54" s="38" t="str">
        <x:v>Referencia 29586</x:v>
      </x:c>
      <x:c r="C54" s="38" t="str">
        <x:v>Repuestos</x:v>
      </x:c>
      <x:c r="D54" s="38" t="str">
        <x:v>Unidad</x:v>
      </x:c>
      <x:c r="E54" s="39" t="n">
        <x:v>2</x:v>
      </x:c>
      <x:c r="F54" s="39" t="n">
        <x:f>SUMIFS(Movimientos!$D:$D,Movimientos!$B:$B,A54,Movimientos!$C:$C,"Entrada")</x:f>
        <x:v>0</x:v>
      </x:c>
      <x:c r="G54" s="39" t="n">
        <x:f>SUMIFS(Movimientos!$D:$D,Movimientos!$B:$B,A54,Movimientos!$C:$C,"Venta")</x:f>
        <x:v>0</x:v>
      </x:c>
      <x:c r="H54" s="39" t="n">
        <x:f>E54+F54-G54</x:f>
        <x:v>2</x:v>
      </x:c>
      <x:c r="I54" s="40" t="n">
        <x:v>252000</x:v>
      </x:c>
      <x:c r="J54" s="40" t="n">
        <x:f>IFERROR(I54/E54,0)</x:f>
        <x:v>126000</x:v>
      </x:c>
      <x:c r="K54" s="40" t="n">
        <x:f>H54*J54</x:f>
        <x:v>252000</x:v>
      </x:c>
      <x:c r="L54" s="39" t="n">
        <x:v>1</x:v>
      </x:c>
      <x:c r="M54" s="38" t="str">
        <x:f>IF(H54&lt;=0,"AGOTADO",IF(H54&lt;=L54,"BAJO","OK"))</x:f>
        <x:v>OK</x:v>
      </x:c>
      <x:c r="N54" s="41" t="str">
        <x:v>Sin descripción en imagen</x:v>
      </x:c>
    </x:row>
    <x:row r="55">
      <x:c r="A55" s="37" t="str">
        <x:v>REF-32307</x:v>
      </x:c>
      <x:c r="B55" s="38" t="str">
        <x:v>Referencia 32307</x:v>
      </x:c>
      <x:c r="C55" s="38" t="str">
        <x:v>Repuestos</x:v>
      </x:c>
      <x:c r="D55" s="38" t="str">
        <x:v>Unidad</x:v>
      </x:c>
      <x:c r="E55" s="39" t="n">
        <x:v>3</x:v>
      </x:c>
      <x:c r="F55" s="39" t="n">
        <x:f>SUMIFS(Movimientos!$D:$D,Movimientos!$B:$B,A55,Movimientos!$C:$C,"Entrada")</x:f>
        <x:v>0</x:v>
      </x:c>
      <x:c r="G55" s="39" t="n">
        <x:f>SUMIFS(Movimientos!$D:$D,Movimientos!$B:$B,A55,Movimientos!$C:$C,"Venta")</x:f>
        <x:v>0</x:v>
      </x:c>
      <x:c r="H55" s="39" t="n">
        <x:f>E55+F55-G55</x:f>
        <x:v>3</x:v>
      </x:c>
      <x:c r="I55" s="40" t="n">
        <x:v>207000</x:v>
      </x:c>
      <x:c r="J55" s="40" t="n">
        <x:f>IFERROR(I55/E55,0)</x:f>
        <x:v>69000</x:v>
      </x:c>
      <x:c r="K55" s="40" t="n">
        <x:f>H55*J55</x:f>
        <x:v>207000</x:v>
      </x:c>
      <x:c r="L55" s="39" t="n">
        <x:v>1</x:v>
      </x:c>
      <x:c r="M55" s="38" t="str">
        <x:f>IF(H55&lt;=0,"AGOTADO",IF(H55&lt;=L55,"BAJO","OK"))</x:f>
        <x:v>OK</x:v>
      </x:c>
      <x:c r="N55" s="41" t="str">
        <x:v>Sin descripción en imagen</x:v>
      </x:c>
    </x:row>
    <x:row r="56">
      <x:c r="A56" s="37" t="str">
        <x:v>REF-32310</x:v>
      </x:c>
      <x:c r="B56" s="38" t="str">
        <x:v>Referencia 32310</x:v>
      </x:c>
      <x:c r="C56" s="38" t="str">
        <x:v>Repuestos</x:v>
      </x:c>
      <x:c r="D56" s="38" t="str">
        <x:v>Unidad</x:v>
      </x:c>
      <x:c r="E56" s="39" t="n">
        <x:v>3</x:v>
      </x:c>
      <x:c r="F56" s="39" t="n">
        <x:f>SUMIFS(Movimientos!$D:$D,Movimientos!$B:$B,A56,Movimientos!$C:$C,"Entrada")</x:f>
        <x:v>0</x:v>
      </x:c>
      <x:c r="G56" s="39" t="n">
        <x:f>SUMIFS(Movimientos!$D:$D,Movimientos!$B:$B,A56,Movimientos!$C:$C,"Venta")</x:f>
        <x:v>0</x:v>
      </x:c>
      <x:c r="H56" s="39" t="n">
        <x:f>E56+F56-G56</x:f>
        <x:v>3</x:v>
      </x:c>
      <x:c r="I56" s="40" t="n">
        <x:v>318000</x:v>
      </x:c>
      <x:c r="J56" s="40" t="n">
        <x:f>IFERROR(I56/E56,0)</x:f>
        <x:v>106000</x:v>
      </x:c>
      <x:c r="K56" s="40" t="n">
        <x:f>H56*J56</x:f>
        <x:v>318000</x:v>
      </x:c>
      <x:c r="L56" s="39" t="n">
        <x:v>1</x:v>
      </x:c>
      <x:c r="M56" s="38" t="str">
        <x:f>IF(H56&lt;=0,"AGOTADO",IF(H56&lt;=L56,"BAJO","OK"))</x:f>
        <x:v>OK</x:v>
      </x:c>
      <x:c r="N56" s="41" t="str">
        <x:v>Número corregido en manuscrito</x:v>
      </x:c>
    </x:row>
    <x:row r="57">
      <x:c r="A57" s="37" t="str">
        <x:v>REF-32213</x:v>
      </x:c>
      <x:c r="B57" s="38" t="str">
        <x:v>Referencia 32213</x:v>
      </x:c>
      <x:c r="C57" s="38" t="str">
        <x:v>Repuestos</x:v>
      </x:c>
      <x:c r="D57" s="38" t="str">
        <x:v>Unidad</x:v>
      </x:c>
      <x:c r="E57" s="39" t="n">
        <x:v>3</x:v>
      </x:c>
      <x:c r="F57" s="39" t="n">
        <x:f>SUMIFS(Movimientos!$D:$D,Movimientos!$B:$B,A57,Movimientos!$C:$C,"Entrada")</x:f>
        <x:v>0</x:v>
      </x:c>
      <x:c r="G57" s="39" t="n">
        <x:f>SUMIFS(Movimientos!$D:$D,Movimientos!$B:$B,A57,Movimientos!$C:$C,"Venta")</x:f>
        <x:v>0</x:v>
      </x:c>
      <x:c r="H57" s="39" t="n">
        <x:f>E57+F57-G57</x:f>
        <x:v>3</x:v>
      </x:c>
      <x:c r="I57" s="40" t="n">
        <x:v>408000</x:v>
      </x:c>
      <x:c r="J57" s="40" t="n">
        <x:f>IFERROR(I57/E57,0)</x:f>
        <x:v>136000</x:v>
      </x:c>
      <x:c r="K57" s="40" t="n">
        <x:f>H57*J57</x:f>
        <x:v>408000</x:v>
      </x:c>
      <x:c r="L57" s="39" t="n">
        <x:v>1</x:v>
      </x:c>
      <x:c r="M57" s="38" t="str">
        <x:f>IF(H57&lt;=0,"AGOTADO",IF(H57&lt;=L57,"BAJO","OK"))</x:f>
        <x:v>OK</x:v>
      </x:c>
      <x:c r="N57" s="41" t="str">
        <x:v>Sin descripción en imagen</x:v>
      </x:c>
    </x:row>
    <x:row r="58">
      <x:c r="A58" s="37" t="str">
        <x:v>REF-32215</x:v>
      </x:c>
      <x:c r="B58" s="38" t="str">
        <x:v>Referencia 32215</x:v>
      </x:c>
      <x:c r="C58" s="38" t="str">
        <x:v>Repuestos</x:v>
      </x:c>
      <x:c r="D58" s="38" t="str">
        <x:v>Unidad</x:v>
      </x:c>
      <x:c r="E58" s="39" t="n">
        <x:v>3</x:v>
      </x:c>
      <x:c r="F58" s="39" t="n">
        <x:f>SUMIFS(Movimientos!$D:$D,Movimientos!$B:$B,A58,Movimientos!$C:$C,"Entrada")</x:f>
        <x:v>0</x:v>
      </x:c>
      <x:c r="G58" s="39" t="n">
        <x:f>SUMIFS(Movimientos!$D:$D,Movimientos!$B:$B,A58,Movimientos!$C:$C,"Venta")</x:f>
        <x:v>0</x:v>
      </x:c>
      <x:c r="H58" s="39" t="n">
        <x:f>E58+F58-G58</x:f>
        <x:v>3</x:v>
      </x:c>
      <x:c r="I58" s="40" t="n">
        <x:v>462000</x:v>
      </x:c>
      <x:c r="J58" s="40" t="n">
        <x:f>IFERROR(I58/E58,0)</x:f>
        <x:v>154000</x:v>
      </x:c>
      <x:c r="K58" s="40" t="n">
        <x:f>H58*J58</x:f>
        <x:v>462000</x:v>
      </x:c>
      <x:c r="L58" s="39" t="n">
        <x:v>1</x:v>
      </x:c>
      <x:c r="M58" s="38" t="str">
        <x:f>IF(H58&lt;=0,"AGOTADO",IF(H58&lt;=L58,"BAJO","OK"))</x:f>
        <x:v>OK</x:v>
      </x:c>
      <x:c r="N58" s="41" t="str">
        <x:v>Sin descripción en imagen</x:v>
      </x:c>
    </x:row>
    <x:row r="59">
      <x:c r="A59" s="37" t="str">
        <x:v>REF-28584</x:v>
      </x:c>
      <x:c r="B59" s="38" t="str">
        <x:v>Referencia 28584</x:v>
      </x:c>
      <x:c r="C59" s="38" t="str">
        <x:v>Repuestos</x:v>
      </x:c>
      <x:c r="D59" s="38" t="str">
        <x:v>Unidad</x:v>
      </x:c>
      <x:c r="E59" s="39" t="n">
        <x:v>3</x:v>
      </x:c>
      <x:c r="F59" s="39" t="n">
        <x:f>SUMIFS(Movimientos!$D:$D,Movimientos!$B:$B,A59,Movimientos!$C:$C,"Entrada")</x:f>
        <x:v>0</x:v>
      </x:c>
      <x:c r="G59" s="39" t="n">
        <x:f>SUMIFS(Movimientos!$D:$D,Movimientos!$B:$B,A59,Movimientos!$C:$C,"Venta")</x:f>
        <x:v>0</x:v>
      </x:c>
      <x:c r="H59" s="39" t="n">
        <x:f>E59+F59-G59</x:f>
        <x:v>3</x:v>
      </x:c>
      <x:c r="I59" s="40" t="n">
        <x:v>267000</x:v>
      </x:c>
      <x:c r="J59" s="40" t="n">
        <x:f>IFERROR(I59/E59,0)</x:f>
        <x:v>89000</x:v>
      </x:c>
      <x:c r="K59" s="40" t="n">
        <x:f>H59*J59</x:f>
        <x:v>267000</x:v>
      </x:c>
      <x:c r="L59" s="39" t="n">
        <x:v>1</x:v>
      </x:c>
      <x:c r="M59" s="38" t="str">
        <x:f>IF(H59&lt;=0,"AGOTADO",IF(H59&lt;=L59,"BAJO","OK"))</x:f>
        <x:v>OK</x:v>
      </x:c>
      <x:c r="N59" s="41" t="str">
        <x:v>Sin descripción en imagen</x:v>
      </x:c>
    </x:row>
    <x:row r="60">
      <x:c r="A60" s="37" t="str">
        <x:v>REF-28985</x:v>
      </x:c>
      <x:c r="B60" s="38" t="str">
        <x:v>Referencia 28985</x:v>
      </x:c>
      <x:c r="C60" s="38" t="str">
        <x:v>Repuestos</x:v>
      </x:c>
      <x:c r="D60" s="38" t="str">
        <x:v>Unidad</x:v>
      </x:c>
      <x:c r="E60" s="39" t="n">
        <x:v>2</x:v>
      </x:c>
      <x:c r="F60" s="39" t="n">
        <x:f>SUMIFS(Movimientos!$D:$D,Movimientos!$B:$B,A60,Movimientos!$C:$C,"Entrada")</x:f>
        <x:v>0</x:v>
      </x:c>
      <x:c r="G60" s="39" t="n">
        <x:f>SUMIFS(Movimientos!$D:$D,Movimientos!$B:$B,A60,Movimientos!$C:$C,"Venta")</x:f>
        <x:v>0</x:v>
      </x:c>
      <x:c r="H60" s="39" t="n">
        <x:f>E60+F60-G60</x:f>
        <x:v>2</x:v>
      </x:c>
      <x:c r="I60" s="40" t="n">
        <x:v>236000</x:v>
      </x:c>
      <x:c r="J60" s="40" t="n">
        <x:f>IFERROR(I60/E60,0)</x:f>
        <x:v>118000</x:v>
      </x:c>
      <x:c r="K60" s="40" t="n">
        <x:f>H60*J60</x:f>
        <x:v>236000</x:v>
      </x:c>
      <x:c r="L60" s="39" t="n">
        <x:v>1</x:v>
      </x:c>
      <x:c r="M60" s="38" t="str">
        <x:f>IF(H60&lt;=0,"AGOTADO",IF(H60&lt;=L60,"BAJO","OK"))</x:f>
        <x:v>OK</x:v>
      </x:c>
      <x:c r="N60" s="41" t="str">
        <x:v>Sin descripción en imagen</x:v>
      </x:c>
    </x:row>
    <x:row r="61">
      <x:c r="A61" s="37" t="str">
        <x:v>REF-32206</x:v>
      </x:c>
      <x:c r="B61" s="38" t="str">
        <x:v>Referencia 32206</x:v>
      </x:c>
      <x:c r="C61" s="38" t="str">
        <x:v>Repuestos</x:v>
      </x:c>
      <x:c r="D61" s="38" t="str">
        <x:v>Unidad</x:v>
      </x:c>
      <x:c r="E61" s="39" t="n">
        <x:v>3</x:v>
      </x:c>
      <x:c r="F61" s="39" t="n">
        <x:f>SUMIFS(Movimientos!$D:$D,Movimientos!$B:$B,A61,Movimientos!$C:$C,"Entrada")</x:f>
        <x:v>0</x:v>
      </x:c>
      <x:c r="G61" s="39" t="n">
        <x:f>SUMIFS(Movimientos!$D:$D,Movimientos!$B:$B,A61,Movimientos!$C:$C,"Venta")</x:f>
        <x:v>0</x:v>
      </x:c>
      <x:c r="H61" s="39" t="n">
        <x:f>E61+F61-G61</x:f>
        <x:v>3</x:v>
      </x:c>
      <x:c r="I61" s="40" t="n">
        <x:v>120000</x:v>
      </x:c>
      <x:c r="J61" s="40" t="n">
        <x:f>IFERROR(I61/E61,0)</x:f>
        <x:v>40000</x:v>
      </x:c>
      <x:c r="K61" s="40" t="n">
        <x:f>H61*J61</x:f>
        <x:v>120000</x:v>
      </x:c>
      <x:c r="L61" s="39" t="n">
        <x:v>1</x:v>
      </x:c>
      <x:c r="M61" s="38" t="str">
        <x:f>IF(H61&lt;=0,"AGOTADO",IF(H61&lt;=L61,"BAJO","OK"))</x:f>
        <x:v>OK</x:v>
      </x:c>
      <x:c r="N61" s="41" t="str">
        <x:v>Sin descripción en imagen</x:v>
      </x:c>
    </x:row>
    <x:row r="62">
      <x:c r="A62" s="37" t="str">
        <x:v>REF-32209</x:v>
      </x:c>
      <x:c r="B62" s="38" t="str">
        <x:v>Referencia 32209</x:v>
      </x:c>
      <x:c r="C62" s="38" t="str">
        <x:v>Repuestos</x:v>
      </x:c>
      <x:c r="D62" s="38" t="str">
        <x:v>Unidad</x:v>
      </x:c>
      <x:c r="E62" s="39" t="n">
        <x:v>3</x:v>
      </x:c>
      <x:c r="F62" s="39" t="n">
        <x:f>SUMIFS(Movimientos!$D:$D,Movimientos!$B:$B,A62,Movimientos!$C:$C,"Entrada")</x:f>
        <x:v>0</x:v>
      </x:c>
      <x:c r="G62" s="39" t="n">
        <x:f>SUMIFS(Movimientos!$D:$D,Movimientos!$B:$B,A62,Movimientos!$C:$C,"Venta")</x:f>
        <x:v>0</x:v>
      </x:c>
      <x:c r="H62" s="39" t="n">
        <x:f>E62+F62-G62</x:f>
        <x:v>3</x:v>
      </x:c>
      <x:c r="I62" s="40" t="n">
        <x:v>180000</x:v>
      </x:c>
      <x:c r="J62" s="40" t="n">
        <x:f>IFERROR(I62/E62,0)</x:f>
        <x:v>60000</x:v>
      </x:c>
      <x:c r="K62" s="40" t="n">
        <x:f>H62*J62</x:f>
        <x:v>180000</x:v>
      </x:c>
      <x:c r="L62" s="39" t="n">
        <x:v>1</x:v>
      </x:c>
      <x:c r="M62" s="38" t="str">
        <x:f>IF(H62&lt;=0,"AGOTADO",IF(H62&lt;=L62,"BAJO","OK"))</x:f>
        <x:v>OK</x:v>
      </x:c>
      <x:c r="N62" s="41" t="str">
        <x:v>Sin descripción en imagen</x:v>
      </x:c>
    </x:row>
    <x:row r="63">
      <x:c r="A63" s="37" t="str">
        <x:v>REF-30211</x:v>
      </x:c>
      <x:c r="B63" s="38" t="str">
        <x:v>Referencia 30211</x:v>
      </x:c>
      <x:c r="C63" s="38" t="str">
        <x:v>Repuestos</x:v>
      </x:c>
      <x:c r="D63" s="38" t="str">
        <x:v>Unidad</x:v>
      </x:c>
      <x:c r="E63" s="39" t="n">
        <x:v>1</x:v>
      </x:c>
      <x:c r="F63" s="39" t="n">
        <x:f>SUMIFS(Movimientos!$D:$D,Movimientos!$B:$B,A63,Movimientos!$C:$C,"Entrada")</x:f>
        <x:v>0</x:v>
      </x:c>
      <x:c r="G63" s="39" t="n">
        <x:f>SUMIFS(Movimientos!$D:$D,Movimientos!$B:$B,A63,Movimientos!$C:$C,"Venta")</x:f>
        <x:v>0</x:v>
      </x:c>
      <x:c r="H63" s="39" t="n">
        <x:f>E63+F63-G63</x:f>
        <x:v>1</x:v>
      </x:c>
      <x:c r="I63" s="40" t="n">
        <x:v>80000</x:v>
      </x:c>
      <x:c r="J63" s="40" t="n">
        <x:f>IFERROR(I63/E63,0)</x:f>
        <x:v>80000</x:v>
      </x:c>
      <x:c r="K63" s="40" t="n">
        <x:f>H63*J63</x:f>
        <x:v>80000</x:v>
      </x:c>
      <x:c r="L63" s="39" t="n">
        <x:v>1</x:v>
      </x:c>
      <x:c r="M63" s="38" t="str">
        <x:f>IF(H63&lt;=0,"AGOTADO",IF(H63&lt;=L63,"BAJO","OK"))</x:f>
        <x:v>BAJO</x:v>
      </x:c>
      <x:c r="N63" s="41" t="str">
        <x:v>Sin descripción en imagen</x:v>
      </x:c>
    </x:row>
    <x:row r="64">
      <x:c r="A64" s="37" t="str">
        <x:v>REF-30212</x:v>
      </x:c>
      <x:c r="B64" s="38" t="str">
        <x:v>Referencia 30212</x:v>
      </x:c>
      <x:c r="C64" s="38" t="str">
        <x:v>Repuestos</x:v>
      </x:c>
      <x:c r="D64" s="38" t="str">
        <x:v>Unidad</x:v>
      </x:c>
      <x:c r="E64" s="39" t="n">
        <x:v>1</x:v>
      </x:c>
      <x:c r="F64" s="39" t="n">
        <x:f>SUMIFS(Movimientos!$D:$D,Movimientos!$B:$B,A64,Movimientos!$C:$C,"Entrada")</x:f>
        <x:v>0</x:v>
      </x:c>
      <x:c r="G64" s="39" t="n">
        <x:f>SUMIFS(Movimientos!$D:$D,Movimientos!$B:$B,A64,Movimientos!$C:$C,"Venta")</x:f>
        <x:v>0</x:v>
      </x:c>
      <x:c r="H64" s="39" t="n">
        <x:f>E64+F64-G64</x:f>
        <x:v>1</x:v>
      </x:c>
      <x:c r="I64" s="40" t="n">
        <x:v>90000</x:v>
      </x:c>
      <x:c r="J64" s="40" t="n">
        <x:f>IFERROR(I64/E64,0)</x:f>
        <x:v>90000</x:v>
      </x:c>
      <x:c r="K64" s="40" t="n">
        <x:f>H64*J64</x:f>
        <x:v>90000</x:v>
      </x:c>
      <x:c r="L64" s="39" t="n">
        <x:v>1</x:v>
      </x:c>
      <x:c r="M64" s="38" t="str">
        <x:f>IF(H64&lt;=0,"AGOTADO",IF(H64&lt;=L64,"BAJO","OK"))</x:f>
        <x:v>BAJO</x:v>
      </x:c>
      <x:c r="N64" s="41" t="str">
        <x:v>Sin descripción en imagen</x:v>
      </x:c>
    </x:row>
    <x:row r="65">
      <x:c r="A65" s="37" t="str">
        <x:v>REF-2780</x:v>
      </x:c>
      <x:c r="B65" s="38" t="str">
        <x:v>Referencia 2780</x:v>
      </x:c>
      <x:c r="C65" s="38" t="str">
        <x:v>Repuestos</x:v>
      </x:c>
      <x:c r="D65" s="38" t="str">
        <x:v>Unidad</x:v>
      </x:c>
      <x:c r="E65" s="39" t="n">
        <x:v>3</x:v>
      </x:c>
      <x:c r="F65" s="39" t="n">
        <x:f>SUMIFS(Movimientos!$D:$D,Movimientos!$B:$B,A65,Movimientos!$C:$C,"Entrada")</x:f>
        <x:v>0</x:v>
      </x:c>
      <x:c r="G65" s="39" t="n">
        <x:f>SUMIFS(Movimientos!$D:$D,Movimientos!$B:$B,A65,Movimientos!$C:$C,"Venta")</x:f>
        <x:v>0</x:v>
      </x:c>
      <x:c r="H65" s="39" t="n">
        <x:f>E65+F65-G65</x:f>
        <x:v>3</x:v>
      </x:c>
      <x:c r="I65" s="40" t="n">
        <x:v>216000</x:v>
      </x:c>
      <x:c r="J65" s="40" t="n">
        <x:f>IFERROR(I65/E65,0)</x:f>
        <x:v>72000</x:v>
      </x:c>
      <x:c r="K65" s="40" t="n">
        <x:f>H65*J65</x:f>
        <x:v>216000</x:v>
      </x:c>
      <x:c r="L65" s="39" t="n">
        <x:v>1</x:v>
      </x:c>
      <x:c r="M65" s="38" t="str">
        <x:f>IF(H65&lt;=0,"AGOTADO",IF(H65&lt;=L65,"BAJO","OK"))</x:f>
        <x:v>OK</x:v>
      </x:c>
      <x:c r="N65" s="41" t="str">
        <x:v>Sin descripción en imagen</x:v>
      </x:c>
    </x:row>
    <x:row r="66">
      <x:c r="A66" s="37" t="str">
        <x:v>REF-3780</x:v>
      </x:c>
      <x:c r="B66" s="38" t="str">
        <x:v>Referencia 3780</x:v>
      </x:c>
      <x:c r="C66" s="38" t="str">
        <x:v>Repuestos</x:v>
      </x:c>
      <x:c r="D66" s="38" t="str">
        <x:v>Unidad</x:v>
      </x:c>
      <x:c r="E66" s="39" t="n">
        <x:v>2</x:v>
      </x:c>
      <x:c r="F66" s="39" t="n">
        <x:f>SUMIFS(Movimientos!$D:$D,Movimientos!$B:$B,A66,Movimientos!$C:$C,"Entrada")</x:f>
        <x:v>0</x:v>
      </x:c>
      <x:c r="G66" s="39" t="n">
        <x:f>SUMIFS(Movimientos!$D:$D,Movimientos!$B:$B,A66,Movimientos!$C:$C,"Venta")</x:f>
        <x:v>0</x:v>
      </x:c>
      <x:c r="H66" s="39" t="n">
        <x:f>E66+F66-G66</x:f>
        <x:v>2</x:v>
      </x:c>
      <x:c r="I66" s="40" t="n">
        <x:v>176000</x:v>
      </x:c>
      <x:c r="J66" s="40" t="n">
        <x:f>IFERROR(I66/E66,0)</x:f>
        <x:v>88000</x:v>
      </x:c>
      <x:c r="K66" s="40" t="n">
        <x:f>H66*J66</x:f>
        <x:v>176000</x:v>
      </x:c>
      <x:c r="L66" s="39" t="n">
        <x:v>1</x:v>
      </x:c>
      <x:c r="M66" s="38" t="str">
        <x:f>IF(H66&lt;=0,"AGOTADO",IF(H66&lt;=L66,"BAJO","OK"))</x:f>
        <x:v>OK</x:v>
      </x:c>
      <x:c r="N66" s="41" t="str">
        <x:v>Sin descripción en imagen</x:v>
      </x:c>
    </x:row>
    <x:row r="67">
      <x:c r="A67" s="37" t="str">
        <x:v>REF-3982</x:v>
      </x:c>
      <x:c r="B67" s="38" t="str">
        <x:v>Referencia 3982</x:v>
      </x:c>
      <x:c r="C67" s="38" t="str">
        <x:v>Repuestos</x:v>
      </x:c>
      <x:c r="D67" s="38" t="str">
        <x:v>Unidad</x:v>
      </x:c>
      <x:c r="E67" s="39" t="n">
        <x:v>3</x:v>
      </x:c>
      <x:c r="F67" s="39" t="n">
        <x:f>SUMIFS(Movimientos!$D:$D,Movimientos!$B:$B,A67,Movimientos!$C:$C,"Entrada")</x:f>
        <x:v>0</x:v>
      </x:c>
      <x:c r="G67" s="39" t="n">
        <x:f>SUMIFS(Movimientos!$D:$D,Movimientos!$B:$B,A67,Movimientos!$C:$C,"Venta")</x:f>
        <x:v>0</x:v>
      </x:c>
      <x:c r="H67" s="39" t="n">
        <x:f>E67+F67-G67</x:f>
        <x:v>3</x:v>
      </x:c>
      <x:c r="I67" s="40" t="n">
        <x:v>351000</x:v>
      </x:c>
      <x:c r="J67" s="40" t="n">
        <x:f>IFERROR(I67/E67,0)</x:f>
        <x:v>117000</x:v>
      </x:c>
      <x:c r="K67" s="40" t="n">
        <x:f>H67*J67</x:f>
        <x:v>351000</x:v>
      </x:c>
      <x:c r="L67" s="39" t="n">
        <x:v>1</x:v>
      </x:c>
      <x:c r="M67" s="38" t="str">
        <x:f>IF(H67&lt;=0,"AGOTADO",IF(H67&lt;=L67,"BAJO","OK"))</x:f>
        <x:v>OK</x:v>
      </x:c>
      <x:c r="N67" s="41" t="str">
        <x:v>Sin descripción en imagen</x:v>
      </x:c>
    </x:row>
    <x:row r="68">
      <x:c r="A68" s="37" t="str">
        <x:v>REF-33287</x:v>
      </x:c>
      <x:c r="B68" s="38" t="str">
        <x:v>Referencia 33287</x:v>
      </x:c>
      <x:c r="C68" s="38" t="str">
        <x:v>Repuestos</x:v>
      </x:c>
      <x:c r="D68" s="38" t="str">
        <x:v>Unidad</x:v>
      </x:c>
      <x:c r="E68" s="39" t="n">
        <x:v>2</x:v>
      </x:c>
      <x:c r="F68" s="39" t="n">
        <x:f>SUMIFS(Movimientos!$D:$D,Movimientos!$B:$B,A68,Movimientos!$C:$C,"Entrada")</x:f>
        <x:v>0</x:v>
      </x:c>
      <x:c r="G68" s="39" t="n">
        <x:f>SUMIFS(Movimientos!$D:$D,Movimientos!$B:$B,A68,Movimientos!$C:$C,"Venta")</x:f>
        <x:v>0</x:v>
      </x:c>
      <x:c r="H68" s="39" t="n">
        <x:f>E68+F68-G68</x:f>
        <x:v>2</x:v>
      </x:c>
      <x:c r="I68" s="40" t="n">
        <x:v>304000</x:v>
      </x:c>
      <x:c r="J68" s="40" t="n">
        <x:f>IFERROR(I68/E68,0)</x:f>
        <x:v>152000</x:v>
      </x:c>
      <x:c r="K68" s="40" t="n">
        <x:f>H68*J68</x:f>
        <x:v>304000</x:v>
      </x:c>
      <x:c r="L68" s="39" t="n">
        <x:v>1</x:v>
      </x:c>
      <x:c r="M68" s="38" t="str">
        <x:f>IF(H68&lt;=0,"AGOTADO",IF(H68&lt;=L68,"BAJO","OK"))</x:f>
        <x:v>OK</x:v>
      </x:c>
      <x:c r="N68" s="41" t="str">
        <x:v>Sin descripción en imagen</x:v>
      </x:c>
    </x:row>
    <x:row r="69">
      <x:c r="A69" s="37" t="str">
        <x:v>REF-30310</x:v>
      </x:c>
      <x:c r="B69" s="38" t="str">
        <x:v>Referencia 30310</x:v>
      </x:c>
      <x:c r="C69" s="38" t="str">
        <x:v>Repuestos</x:v>
      </x:c>
      <x:c r="D69" s="38" t="str">
        <x:v>Unidad</x:v>
      </x:c>
      <x:c r="E69" s="39" t="n">
        <x:v>1</x:v>
      </x:c>
      <x:c r="F69" s="39" t="n">
        <x:f>SUMIFS(Movimientos!$D:$D,Movimientos!$B:$B,A69,Movimientos!$C:$C,"Entrada")</x:f>
        <x:v>0</x:v>
      </x:c>
      <x:c r="G69" s="39" t="n">
        <x:f>SUMIFS(Movimientos!$D:$D,Movimientos!$B:$B,A69,Movimientos!$C:$C,"Venta")</x:f>
        <x:v>0</x:v>
      </x:c>
      <x:c r="H69" s="39" t="n">
        <x:f>E69+F69-G69</x:f>
        <x:v>1</x:v>
      </x:c>
      <x:c r="I69" s="40" t="n">
        <x:v>360000</x:v>
      </x:c>
      <x:c r="J69" s="40" t="n">
        <x:f>IFERROR(I69/E69,0)</x:f>
        <x:v>360000</x:v>
      </x:c>
      <x:c r="K69" s="40" t="n">
        <x:f>H69*J69</x:f>
        <x:v>360000</x:v>
      </x:c>
      <x:c r="L69" s="39" t="n">
        <x:v>1</x:v>
      </x:c>
      <x:c r="M69" s="38" t="str">
        <x:f>IF(H69&lt;=0,"AGOTADO",IF(H69&lt;=L69,"BAJO","OK"))</x:f>
        <x:v>BAJO</x:v>
      </x:c>
      <x:c r="N69" s="41" t="str">
        <x:v>Sin descripción en imagen</x:v>
      </x:c>
    </x:row>
    <x:row r="70">
      <x:c r="A70" s="37" t="str">
        <x:v>REF-4090</x:v>
      </x:c>
      <x:c r="B70" s="38" t="str">
        <x:v>Referencia 4090</x:v>
      </x:c>
      <x:c r="C70" s="38" t="str">
        <x:v>Repuestos</x:v>
      </x:c>
      <x:c r="D70" s="38" t="str">
        <x:v>Unidad</x:v>
      </x:c>
      <x:c r="E70" s="39" t="n">
        <x:v>3</x:v>
      </x:c>
      <x:c r="F70" s="39" t="n">
        <x:f>SUMIFS(Movimientos!$D:$D,Movimientos!$B:$B,A70,Movimientos!$C:$C,"Entrada")</x:f>
        <x:v>0</x:v>
      </x:c>
      <x:c r="G70" s="39" t="n">
        <x:f>SUMIFS(Movimientos!$D:$D,Movimientos!$B:$B,A70,Movimientos!$C:$C,"Venta")</x:f>
        <x:v>0</x:v>
      </x:c>
      <x:c r="H70" s="39" t="n">
        <x:f>E70+F70-G70</x:f>
        <x:v>3</x:v>
      </x:c>
      <x:c r="I70" s="40" t="n">
        <x:v>555000</x:v>
      </x:c>
      <x:c r="J70" s="40" t="n">
        <x:f>IFERROR(I70/E70,0)</x:f>
        <x:v>185000</x:v>
      </x:c>
      <x:c r="K70" s="40" t="n">
        <x:f>H70*J70</x:f>
        <x:v>555000</x:v>
      </x:c>
      <x:c r="L70" s="39" t="n">
        <x:v>1</x:v>
      </x:c>
      <x:c r="M70" s="38" t="str">
        <x:f>IF(H70&lt;=0,"AGOTADO",IF(H70&lt;=L70,"BAJO","OK"))</x:f>
        <x:v>OK</x:v>
      </x:c>
      <x:c r="N70" s="41" t="str">
        <x:v>Sin descripción en imagen</x:v>
      </x:c>
    </x:row>
    <x:row r="71">
      <x:c r="A71" s="37" t="str">
        <x:v>REF-30213</x:v>
      </x:c>
      <x:c r="B71" s="38" t="str">
        <x:v>Referencia 30213</x:v>
      </x:c>
      <x:c r="C71" s="38" t="str">
        <x:v>Repuestos</x:v>
      </x:c>
      <x:c r="D71" s="38" t="str">
        <x:v>Unidad</x:v>
      </x:c>
      <x:c r="E71" s="39" t="n">
        <x:v>2</x:v>
      </x:c>
      <x:c r="F71" s="39" t="n">
        <x:f>SUMIFS(Movimientos!$D:$D,Movimientos!$B:$B,A71,Movimientos!$C:$C,"Entrada")</x:f>
        <x:v>0</x:v>
      </x:c>
      <x:c r="G71" s="39" t="n">
        <x:f>SUMIFS(Movimientos!$D:$D,Movimientos!$B:$B,A71,Movimientos!$C:$C,"Venta")</x:f>
        <x:v>0</x:v>
      </x:c>
      <x:c r="H71" s="39" t="n">
        <x:f>E71+F71-G71</x:f>
        <x:v>2</x:v>
      </x:c>
      <x:c r="I71" s="40" t="n">
        <x:v>206000</x:v>
      </x:c>
      <x:c r="J71" s="40" t="n">
        <x:f>IFERROR(I71/E71,0)</x:f>
        <x:v>103000</x:v>
      </x:c>
      <x:c r="K71" s="40" t="n">
        <x:f>H71*J71</x:f>
        <x:v>206000</x:v>
      </x:c>
      <x:c r="L71" s="39" t="n">
        <x:v>1</x:v>
      </x:c>
      <x:c r="M71" s="38" t="str">
        <x:f>IF(H71&lt;=0,"AGOTADO",IF(H71&lt;=L71,"BAJO","OK"))</x:f>
        <x:v>OK</x:v>
      </x:c>
      <x:c r="N71" s="41" t="str">
        <x:v>Sin descripción en imagen</x:v>
      </x:c>
    </x:row>
    <x:row r="72">
      <x:c r="A72" s="37" t="str">
        <x:v>OTR-001</x:v>
      </x:c>
      <x:c r="B72" s="38" t="str">
        <x:v>Topes muelle diferencial</x:v>
      </x:c>
      <x:c r="C72" s="38" t="str">
        <x:v>Repuestos</x:v>
      </x:c>
      <x:c r="D72" s="38" t="str">
        <x:v>Unidad</x:v>
      </x:c>
      <x:c r="E72" s="39" t="n">
        <x:v>2</x:v>
      </x:c>
      <x:c r="F72" s="39" t="n">
        <x:f>SUMIFS(Movimientos!$D:$D,Movimientos!$B:$B,A72,Movimientos!$C:$C,"Entrada")</x:f>
        <x:v>0</x:v>
      </x:c>
      <x:c r="G72" s="39" t="n">
        <x:f>SUMIFS(Movimientos!$D:$D,Movimientos!$B:$B,A72,Movimientos!$C:$C,"Venta")</x:f>
        <x:v>0</x:v>
      </x:c>
      <x:c r="H72" s="39" t="n">
        <x:f>E72+F72-G72</x:f>
        <x:v>2</x:v>
      </x:c>
      <x:c r="I72" s="40" t="n">
        <x:v>80000</x:v>
      </x:c>
      <x:c r="J72" s="40" t="n">
        <x:f>IFERROR(I72/E72,0)</x:f>
        <x:v>40000</x:v>
      </x:c>
      <x:c r="K72" s="40" t="n">
        <x:f>H72*J72</x:f>
        <x:v>80000</x:v>
      </x:c>
      <x:c r="L72" s="39" t="n">
        <x:v>1</x:v>
      </x:c>
      <x:c r="M72" s="38" t="str">
        <x:f>IF(H72&lt;=0,"AGOTADO",IF(H72&lt;=L72,"BAJO","OK"))</x:f>
        <x:v>OK</x:v>
      </x:c>
      <x:c r="N72" s="41" t="str"/>
    </x:row>
    <x:row r="73">
      <x:c r="A73" s="37" t="str">
        <x:v>OTR-002</x:v>
      </x:c>
      <x:c r="B73" s="38" t="str">
        <x:v>Cascos</x:v>
      </x:c>
      <x:c r="C73" s="38" t="str">
        <x:v>Repuestos</x:v>
      </x:c>
      <x:c r="D73" s="38" t="str">
        <x:v>Unidad</x:v>
      </x:c>
      <x:c r="E73" s="39" t="n">
        <x:v>15</x:v>
      </x:c>
      <x:c r="F73" s="39" t="n">
        <x:f>SUMIFS(Movimientos!$D:$D,Movimientos!$B:$B,A73,Movimientos!$C:$C,"Entrada")</x:f>
        <x:v>0</x:v>
      </x:c>
      <x:c r="G73" s="39" t="n">
        <x:f>SUMIFS(Movimientos!$D:$D,Movimientos!$B:$B,A73,Movimientos!$C:$C,"Venta")</x:f>
        <x:v>0</x:v>
      </x:c>
      <x:c r="H73" s="39" t="n">
        <x:f>E73+F73-G73</x:f>
        <x:v>15</x:v>
      </x:c>
      <x:c r="I73" s="40" t="n">
        <x:v>225000</x:v>
      </x:c>
      <x:c r="J73" s="40" t="n">
        <x:f>IFERROR(I73/E73,0)</x:f>
        <x:v>15000</x:v>
      </x:c>
      <x:c r="K73" s="40" t="n">
        <x:f>H73*J73</x:f>
        <x:v>225000</x:v>
      </x:c>
      <x:c r="L73" s="39" t="n">
        <x:v>1</x:v>
      </x:c>
      <x:c r="M73" s="38" t="str">
        <x:f>IF(H73&lt;=0,"AGOTADO",IF(H73&lt;=L73,"BAJO","OK"))</x:f>
        <x:v>OK</x:v>
      </x:c>
      <x:c r="N73" s="41" t="str"/>
    </x:row>
    <x:row r="74">
      <x:c r="A74" s="37" t="str">
        <x:v>OTR-003</x:v>
      </x:c>
      <x:c r="B74" s="38" t="str">
        <x:v>Bujes tapa diferencial original</x:v>
      </x:c>
      <x:c r="C74" s="38" t="str">
        <x:v>Repuestos</x:v>
      </x:c>
      <x:c r="D74" s="38" t="str">
        <x:v>Unidad</x:v>
      </x:c>
      <x:c r="E74" s="39" t="n">
        <x:v>3</x:v>
      </x:c>
      <x:c r="F74" s="39" t="n">
        <x:f>SUMIFS(Movimientos!$D:$D,Movimientos!$B:$B,A74,Movimientos!$C:$C,"Entrada")</x:f>
        <x:v>0</x:v>
      </x:c>
      <x:c r="G74" s="39" t="n">
        <x:f>SUMIFS(Movimientos!$D:$D,Movimientos!$B:$B,A74,Movimientos!$C:$C,"Venta")</x:f>
        <x:v>0</x:v>
      </x:c>
      <x:c r="H74" s="39" t="n">
        <x:f>E74+F74-G74</x:f>
        <x:v>3</x:v>
      </x:c>
      <x:c r="I74" s="40" t="n">
        <x:v>180000</x:v>
      </x:c>
      <x:c r="J74" s="40" t="n">
        <x:f>IFERROR(I74/E74,0)</x:f>
        <x:v>60000</x:v>
      </x:c>
      <x:c r="K74" s="40" t="n">
        <x:f>H74*J74</x:f>
        <x:v>180000</x:v>
      </x:c>
      <x:c r="L74" s="39" t="n">
        <x:v>1</x:v>
      </x:c>
      <x:c r="M74" s="38" t="str">
        <x:f>IF(H74&lt;=0,"AGOTADO",IF(H74&lt;=L74,"BAJO","OK"))</x:f>
        <x:v>OK</x:v>
      </x:c>
      <x:c r="N74" s="41" t="str"/>
    </x:row>
    <x:row r="75">
      <x:c r="A75" s="37" t="str">
        <x:v>OTR-004</x:v>
      </x:c>
      <x:c r="B75" s="38" t="str">
        <x:v>Bujes cobre Hino</x:v>
      </x:c>
      <x:c r="C75" s="38" t="str">
        <x:v>Repuestos</x:v>
      </x:c>
      <x:c r="D75" s="38" t="str">
        <x:v>Unidad</x:v>
      </x:c>
      <x:c r="E75" s="39" t="n">
        <x:v>19</x:v>
      </x:c>
      <x:c r="F75" s="39" t="n">
        <x:f>SUMIFS(Movimientos!$D:$D,Movimientos!$B:$B,A75,Movimientos!$C:$C,"Entrada")</x:f>
        <x:v>0</x:v>
      </x:c>
      <x:c r="G75" s="39" t="n">
        <x:f>SUMIFS(Movimientos!$D:$D,Movimientos!$B:$B,A75,Movimientos!$C:$C,"Venta")</x:f>
        <x:v>0</x:v>
      </x:c>
      <x:c r="H75" s="39" t="n">
        <x:f>E75+F75-G75</x:f>
        <x:v>19</x:v>
      </x:c>
      <x:c r="I75" s="40" t="n">
        <x:v>228000</x:v>
      </x:c>
      <x:c r="J75" s="40" t="n">
        <x:f>IFERROR(I75/E75,0)</x:f>
        <x:v>12000</x:v>
      </x:c>
      <x:c r="K75" s="40" t="n">
        <x:f>H75*J75</x:f>
        <x:v>228000</x:v>
      </x:c>
      <x:c r="L75" s="39" t="n">
        <x:v>1</x:v>
      </x:c>
      <x:c r="M75" s="38" t="str">
        <x:f>IF(H75&lt;=0,"AGOTADO",IF(H75&lt;=L75,"BAJO","OK"))</x:f>
        <x:v>OK</x:v>
      </x:c>
      <x:c r="N75" s="41" t="str"/>
    </x:row>
    <x:row r="76">
      <x:c r="A76" s="37" t="str">
        <x:v>OTR-005</x:v>
      </x:c>
      <x:c r="B76" s="38" t="str">
        <x:v>Pasador cuñero</x:v>
      </x:c>
      <x:c r="C76" s="38" t="str">
        <x:v>Repuestos</x:v>
      </x:c>
      <x:c r="D76" s="38" t="str">
        <x:v>Unidad</x:v>
      </x:c>
      <x:c r="E76" s="39" t="n">
        <x:v>2</x:v>
      </x:c>
      <x:c r="F76" s="39" t="n">
        <x:f>SUMIFS(Movimientos!$D:$D,Movimientos!$B:$B,A76,Movimientos!$C:$C,"Entrada")</x:f>
        <x:v>0</x:v>
      </x:c>
      <x:c r="G76" s="39" t="n">
        <x:f>SUMIFS(Movimientos!$D:$D,Movimientos!$B:$B,A76,Movimientos!$C:$C,"Venta")</x:f>
        <x:v>0</x:v>
      </x:c>
      <x:c r="H76" s="39" t="n">
        <x:f>E76+F76-G76</x:f>
        <x:v>2</x:v>
      </x:c>
      <x:c r="I76" s="40" t="n">
        <x:v>30000</x:v>
      </x:c>
      <x:c r="J76" s="40" t="n">
        <x:f>IFERROR(I76/E76,0)</x:f>
        <x:v>15000</x:v>
      </x:c>
      <x:c r="K76" s="40" t="n">
        <x:f>H76*J76</x:f>
        <x:v>30000</x:v>
      </x:c>
      <x:c r="L76" s="39" t="n">
        <x:v>1</x:v>
      </x:c>
      <x:c r="M76" s="38" t="str">
        <x:f>IF(H76&lt;=0,"AGOTADO",IF(H76&lt;=L76,"BAJO","OK"))</x:f>
        <x:v>OK</x:v>
      </x:c>
      <x:c r="N76" s="41" t="str"/>
    </x:row>
    <x:row r="77">
      <x:c r="A77" s="37" t="str">
        <x:v>OTR-006</x:v>
      </x:c>
      <x:c r="B77" s="38" t="str">
        <x:v>Pasador 18 mm tapa NPR-NQR</x:v>
      </x:c>
      <x:c r="C77" s="38" t="str">
        <x:v>Repuestos</x:v>
      </x:c>
      <x:c r="D77" s="38" t="str">
        <x:v>Unidad</x:v>
      </x:c>
      <x:c r="E77" s="39" t="n">
        <x:v>4</x:v>
      </x:c>
      <x:c r="F77" s="39" t="n">
        <x:f>SUMIFS(Movimientos!$D:$D,Movimientos!$B:$B,A77,Movimientos!$C:$C,"Entrada")</x:f>
        <x:v>0</x:v>
      </x:c>
      <x:c r="G77" s="39" t="n">
        <x:f>SUMIFS(Movimientos!$D:$D,Movimientos!$B:$B,A77,Movimientos!$C:$C,"Venta")</x:f>
        <x:v>0</x:v>
      </x:c>
      <x:c r="H77" s="39" t="n">
        <x:f>E77+F77-G77</x:f>
        <x:v>4</x:v>
      </x:c>
      <x:c r="I77" s="40" t="n">
        <x:v>60000</x:v>
      </x:c>
      <x:c r="J77" s="40" t="n">
        <x:f>IFERROR(I77/E77,0)</x:f>
        <x:v>15000</x:v>
      </x:c>
      <x:c r="K77" s="40" t="n">
        <x:f>H77*J77</x:f>
        <x:v>60000</x:v>
      </x:c>
      <x:c r="L77" s="39" t="n">
        <x:v>1</x:v>
      </x:c>
      <x:c r="M77" s="38" t="str">
        <x:f>IF(H77&lt;=0,"AGOTADO",IF(H77&lt;=L77,"BAJO","OK"))</x:f>
        <x:v>OK</x:v>
      </x:c>
      <x:c r="N77" s="41" t="str"/>
    </x:row>
    <x:row r="78">
      <x:c r="A78" s="37" t="str">
        <x:v>OTR-007</x:v>
      </x:c>
      <x:c r="B78" s="38" t="str">
        <x:v>Pasador 5/8</x:v>
      </x:c>
      <x:c r="C78" s="38" t="str">
        <x:v>Repuestos</x:v>
      </x:c>
      <x:c r="D78" s="38" t="str">
        <x:v>Unidad</x:v>
      </x:c>
      <x:c r="E78" s="39" t="n">
        <x:v>9</x:v>
      </x:c>
      <x:c r="F78" s="39" t="n">
        <x:f>SUMIFS(Movimientos!$D:$D,Movimientos!$B:$B,A78,Movimientos!$C:$C,"Entrada")</x:f>
        <x:v>0</x:v>
      </x:c>
      <x:c r="G78" s="39" t="n">
        <x:f>SUMIFS(Movimientos!$D:$D,Movimientos!$B:$B,A78,Movimientos!$C:$C,"Venta")</x:f>
        <x:v>0</x:v>
      </x:c>
      <x:c r="H78" s="39" t="n">
        <x:f>E78+F78-G78</x:f>
        <x:v>9</x:v>
      </x:c>
      <x:c r="I78" s="40" t="n">
        <x:v>54000</x:v>
      </x:c>
      <x:c r="J78" s="40" t="n">
        <x:f>IFERROR(I78/E78,0)</x:f>
        <x:v>6000</x:v>
      </x:c>
      <x:c r="K78" s="40" t="n">
        <x:f>H78*J78</x:f>
        <x:v>54000</x:v>
      </x:c>
      <x:c r="L78" s="39" t="n">
        <x:v>1</x:v>
      </x:c>
      <x:c r="M78" s="38" t="str">
        <x:f>IF(H78&lt;=0,"AGOTADO",IF(H78&lt;=L78,"BAJO","OK"))</x:f>
        <x:v>OK</x:v>
      </x:c>
      <x:c r="N78" s="41" t="str"/>
    </x:row>
    <x:row r="79">
      <x:c r="A79" s="37" t="str">
        <x:v>OTR-008</x:v>
      </x:c>
      <x:c r="B79" s="38" t="str">
        <x:v>Balancín trasero NPR-NQR</x:v>
      </x:c>
      <x:c r="C79" s="38" t="str">
        <x:v>Repuestos</x:v>
      </x:c>
      <x:c r="D79" s="38" t="str">
        <x:v>Unidad</x:v>
      </x:c>
      <x:c r="E79" s="39" t="n">
        <x:v>1</x:v>
      </x:c>
      <x:c r="F79" s="39" t="n">
        <x:f>SUMIFS(Movimientos!$D:$D,Movimientos!$B:$B,A79,Movimientos!$C:$C,"Entrada")</x:f>
        <x:v>0</x:v>
      </x:c>
      <x:c r="G79" s="39" t="n">
        <x:f>SUMIFS(Movimientos!$D:$D,Movimientos!$B:$B,A79,Movimientos!$C:$C,"Venta")</x:f>
        <x:v>0</x:v>
      </x:c>
      <x:c r="H79" s="39" t="n">
        <x:f>E79+F79-G79</x:f>
        <x:v>1</x:v>
      </x:c>
      <x:c r="I79" s="40" t="n">
        <x:v>65000</x:v>
      </x:c>
      <x:c r="J79" s="40" t="n">
        <x:f>IFERROR(I79/E79,0)</x:f>
        <x:v>65000</x:v>
      </x:c>
      <x:c r="K79" s="40" t="n">
        <x:f>H79*J79</x:f>
        <x:v>65000</x:v>
      </x:c>
      <x:c r="L79" s="39" t="n">
        <x:v>1</x:v>
      </x:c>
      <x:c r="M79" s="38" t="str">
        <x:f>IF(H79&lt;=0,"AGOTADO",IF(H79&lt;=L79,"BAJO","OK"))</x:f>
        <x:v>BAJO</x:v>
      </x:c>
      <x:c r="N79" s="41" t="str"/>
    </x:row>
    <x:row r="80">
      <x:c r="A80" s="37" t="str">
        <x:v>OTR-009</x:v>
      </x:c>
      <x:c r="B80" s="38" t="str">
        <x:v>Balancín diferencial NPR</x:v>
      </x:c>
      <x:c r="C80" s="38" t="str">
        <x:v>Repuestos</x:v>
      </x:c>
      <x:c r="D80" s="38" t="str">
        <x:v>Unidad</x:v>
      </x:c>
      <x:c r="E80" s="39" t="n">
        <x:v>1</x:v>
      </x:c>
      <x:c r="F80" s="39" t="n">
        <x:f>SUMIFS(Movimientos!$D:$D,Movimientos!$B:$B,A80,Movimientos!$C:$C,"Entrada")</x:f>
        <x:v>0</x:v>
      </x:c>
      <x:c r="G80" s="39" t="n">
        <x:f>SUMIFS(Movimientos!$D:$D,Movimientos!$B:$B,A80,Movimientos!$C:$C,"Venta")</x:f>
        <x:v>0</x:v>
      </x:c>
      <x:c r="H80" s="39" t="n">
        <x:f>E80+F80-G80</x:f>
        <x:v>1</x:v>
      </x:c>
      <x:c r="I80" s="40" t="n">
        <x:v>66000</x:v>
      </x:c>
      <x:c r="J80" s="40" t="n">
        <x:f>IFERROR(I80/E80,0)</x:f>
        <x:v>66000</x:v>
      </x:c>
      <x:c r="K80" s="40" t="n">
        <x:f>H80*J80</x:f>
        <x:v>66000</x:v>
      </x:c>
      <x:c r="L80" s="39" t="n">
        <x:v>1</x:v>
      </x:c>
      <x:c r="M80" s="38" t="str">
        <x:f>IF(H80&lt;=0,"AGOTADO",IF(H80&lt;=L80,"BAJO","OK"))</x:f>
        <x:v>BAJO</x:v>
      </x:c>
      <x:c r="N80" s="41" t="str"/>
    </x:row>
    <x:row r="81">
      <x:c r="A81" s="37" t="str">
        <x:v>OTR-010</x:v>
      </x:c>
      <x:c r="B81" s="38" t="str">
        <x:v>Pasador 1/2 x 8</x:v>
      </x:c>
      <x:c r="C81" s="38" t="str">
        <x:v>Repuestos</x:v>
      </x:c>
      <x:c r="D81" s="38" t="str">
        <x:v>Unidad</x:v>
      </x:c>
      <x:c r="E81" s="39" t="n">
        <x:v>24</x:v>
      </x:c>
      <x:c r="F81" s="39" t="n">
        <x:f>SUMIFS(Movimientos!$D:$D,Movimientos!$B:$B,A81,Movimientos!$C:$C,"Entrada")</x:f>
        <x:v>0</x:v>
      </x:c>
      <x:c r="G81" s="39" t="n">
        <x:f>SUMIFS(Movimientos!$D:$D,Movimientos!$B:$B,A81,Movimientos!$C:$C,"Venta")</x:f>
        <x:v>0</x:v>
      </x:c>
      <x:c r="H81" s="39" t="n">
        <x:f>E81+F81-G81</x:f>
        <x:v>24</x:v>
      </x:c>
      <x:c r="I81" s="40" t="n">
        <x:v>192000</x:v>
      </x:c>
      <x:c r="J81" s="40" t="n">
        <x:f>IFERROR(I81/E81,0)</x:f>
        <x:v>8000</x:v>
      </x:c>
      <x:c r="K81" s="40" t="n">
        <x:f>H81*J81</x:f>
        <x:v>192000</x:v>
      </x:c>
      <x:c r="L81" s="39" t="n">
        <x:v>1</x:v>
      </x:c>
      <x:c r="M81" s="38" t="str">
        <x:f>IF(H81&lt;=0,"AGOTADO",IF(H81&lt;=L81,"BAJO","OK"))</x:f>
        <x:v>OK</x:v>
      </x:c>
      <x:c r="N81" s="41" t="str"/>
    </x:row>
    <x:row r="82">
      <x:c r="A82" s="37" t="str">
        <x:v>OTR-011</x:v>
      </x:c>
      <x:c r="B82" s="38" t="str">
        <x:v>Pasador 3/8 x 6</x:v>
      </x:c>
      <x:c r="C82" s="38" t="str">
        <x:v>Repuestos</x:v>
      </x:c>
      <x:c r="D82" s="38" t="str">
        <x:v>Unidad</x:v>
      </x:c>
      <x:c r="E82" s="39" t="n">
        <x:v>14</x:v>
      </x:c>
      <x:c r="F82" s="39" t="n">
        <x:f>SUMIFS(Movimientos!$D:$D,Movimientos!$B:$B,A82,Movimientos!$C:$C,"Entrada")</x:f>
        <x:v>0</x:v>
      </x:c>
      <x:c r="G82" s="39" t="n">
        <x:f>SUMIFS(Movimientos!$D:$D,Movimientos!$B:$B,A82,Movimientos!$C:$C,"Venta")</x:f>
        <x:v>0</x:v>
      </x:c>
      <x:c r="H82" s="39" t="n">
        <x:f>E82+F82-G82</x:f>
        <x:v>14</x:v>
      </x:c>
      <x:c r="I82" s="40" t="n">
        <x:v>56000</x:v>
      </x:c>
      <x:c r="J82" s="40" t="n">
        <x:f>IFERROR(I82/E82,0)</x:f>
        <x:v>4000</x:v>
      </x:c>
      <x:c r="K82" s="40" t="n">
        <x:f>H82*J82</x:f>
        <x:v>56000</x:v>
      </x:c>
      <x:c r="L82" s="39" t="n">
        <x:v>1</x:v>
      </x:c>
      <x:c r="M82" s="38" t="str">
        <x:f>IF(H82&lt;=0,"AGOTADO",IF(H82&lt;=L82,"BAJO","OK"))</x:f>
        <x:v>OK</x:v>
      </x:c>
      <x:c r="N82" s="41" t="str"/>
    </x:row>
    <x:row r="83">
      <x:c r="A83" s="37" t="str">
        <x:v>OTR-012</x:v>
      </x:c>
      <x:c r="B83" s="38" t="str">
        <x:v>Resortes bandas</x:v>
      </x:c>
      <x:c r="C83" s="38" t="str">
        <x:v>Repuestos</x:v>
      </x:c>
      <x:c r="D83" s="38" t="str">
        <x:v>Unidad</x:v>
      </x:c>
      <x:c r="E83" s="39" t="n">
        <x:v>21</x:v>
      </x:c>
      <x:c r="F83" s="39" t="n">
        <x:f>SUMIFS(Movimientos!$D:$D,Movimientos!$B:$B,A83,Movimientos!$C:$C,"Entrada")</x:f>
        <x:v>0</x:v>
      </x:c>
      <x:c r="G83" s="39" t="n">
        <x:f>SUMIFS(Movimientos!$D:$D,Movimientos!$B:$B,A83,Movimientos!$C:$C,"Venta")</x:f>
        <x:v>0</x:v>
      </x:c>
      <x:c r="H83" s="39" t="n">
        <x:f>E83+F83-G83</x:f>
        <x:v>21</x:v>
      </x:c>
      <x:c r="I83" s="40" t="n">
        <x:v>126000</x:v>
      </x:c>
      <x:c r="J83" s="40" t="n">
        <x:f>IFERROR(I83/E83,0)</x:f>
        <x:v>6000</x:v>
      </x:c>
      <x:c r="K83" s="40" t="n">
        <x:f>H83*J83</x:f>
        <x:v>126000</x:v>
      </x:c>
      <x:c r="L83" s="39" t="n">
        <x:v>1</x:v>
      </x:c>
      <x:c r="M83" s="38" t="str">
        <x:f>IF(H83&lt;=0,"AGOTADO",IF(H83&lt;=L83,"BAJO","OK"))</x:f>
        <x:v>OK</x:v>
      </x:c>
      <x:c r="N83" s="41" t="str"/>
    </x:row>
    <x:row r="84">
      <x:c r="A84" s="37" t="str">
        <x:v>OTR-013</x:v>
      </x:c>
      <x:c r="B84" s="38" t="str">
        <x:v>Tuercas jaula</x:v>
      </x:c>
      <x:c r="C84" s="38" t="str">
        <x:v>Repuestos</x:v>
      </x:c>
      <x:c r="D84" s="38" t="str">
        <x:v>Unidad</x:v>
      </x:c>
      <x:c r="E84" s="39" t="n">
        <x:v>3</x:v>
      </x:c>
      <x:c r="F84" s="39" t="n">
        <x:f>SUMIFS(Movimientos!$D:$D,Movimientos!$B:$B,A84,Movimientos!$C:$C,"Entrada")</x:f>
        <x:v>0</x:v>
      </x:c>
      <x:c r="G84" s="39" t="n">
        <x:f>SUMIFS(Movimientos!$D:$D,Movimientos!$B:$B,A84,Movimientos!$C:$C,"Venta")</x:f>
        <x:v>0</x:v>
      </x:c>
      <x:c r="H84" s="39" t="n">
        <x:f>E84+F84-G84</x:f>
        <x:v>3</x:v>
      </x:c>
      <x:c r="I84" s="40" t="n">
        <x:v>105000</x:v>
      </x:c>
      <x:c r="J84" s="40" t="n">
        <x:f>IFERROR(I84/E84,0)</x:f>
        <x:v>35000</x:v>
      </x:c>
      <x:c r="K84" s="40" t="n">
        <x:f>H84*J84</x:f>
        <x:v>105000</x:v>
      </x:c>
      <x:c r="L84" s="39" t="n">
        <x:v>1</x:v>
      </x:c>
      <x:c r="M84" s="38" t="str">
        <x:f>IF(H84&lt;=0,"AGOTADO",IF(H84&lt;=L84,"BAJO","OK"))</x:f>
        <x:v>OK</x:v>
      </x:c>
      <x:c r="N84" s="41" t="str"/>
    </x:row>
    <x:row r="85">
      <x:c r="A85" s="37" t="str">
        <x:v>OTR-014</x:v>
      </x:c>
      <x:c r="B85" s="38" t="str">
        <x:v>Chupas 13/16</x:v>
      </x:c>
      <x:c r="C85" s="38" t="str">
        <x:v>Repuestos</x:v>
      </x:c>
      <x:c r="D85" s="38" t="str">
        <x:v>Unidad</x:v>
      </x:c>
      <x:c r="E85" s="39" t="n">
        <x:v>140</x:v>
      </x:c>
      <x:c r="F85" s="39" t="n">
        <x:f>SUMIFS(Movimientos!$D:$D,Movimientos!$B:$B,A85,Movimientos!$C:$C,"Entrada")</x:f>
        <x:v>0</x:v>
      </x:c>
      <x:c r="G85" s="39" t="n">
        <x:f>SUMIFS(Movimientos!$D:$D,Movimientos!$B:$B,A85,Movimientos!$C:$C,"Venta")</x:f>
        <x:v>0</x:v>
      </x:c>
      <x:c r="H85" s="39" t="n">
        <x:f>E85+F85-G85</x:f>
        <x:v>140</x:v>
      </x:c>
      <x:c r="I85" s="40" t="n">
        <x:v>322000</x:v>
      </x:c>
      <x:c r="J85" s="40" t="n">
        <x:f>IFERROR(I85/E85,0)</x:f>
        <x:v>2300</x:v>
      </x:c>
      <x:c r="K85" s="40" t="n">
        <x:f>H85*J85</x:f>
        <x:v>322000</x:v>
      </x:c>
      <x:c r="L85" s="39" t="n">
        <x:v>1</x:v>
      </x:c>
      <x:c r="M85" s="38" t="str">
        <x:f>IF(H85&lt;=0,"AGOTADO",IF(H85&lt;=L85,"BAJO","OK"))</x:f>
        <x:v>OK</x:v>
      </x:c>
      <x:c r="N85" s="41" t="str"/>
    </x:row>
    <x:row r="86">
      <x:c r="A86" s="37" t="str">
        <x:v>OTR-015</x:v>
      </x:c>
      <x:c r="B86" s="38" t="str">
        <x:v>Chupas 1 3/8</x:v>
      </x:c>
      <x:c r="C86" s="38" t="str">
        <x:v>Repuestos</x:v>
      </x:c>
      <x:c r="D86" s="38" t="str">
        <x:v>Unidad</x:v>
      </x:c>
      <x:c r="E86" s="39" t="n">
        <x:v>220</x:v>
      </x:c>
      <x:c r="F86" s="39" t="n">
        <x:f>SUMIFS(Movimientos!$D:$D,Movimientos!$B:$B,A86,Movimientos!$C:$C,"Entrada")</x:f>
        <x:v>0</x:v>
      </x:c>
      <x:c r="G86" s="39" t="n">
        <x:f>SUMIFS(Movimientos!$D:$D,Movimientos!$B:$B,A86,Movimientos!$C:$C,"Venta")</x:f>
        <x:v>0</x:v>
      </x:c>
      <x:c r="H86" s="39" t="n">
        <x:f>E86+F86-G86</x:f>
        <x:v>220</x:v>
      </x:c>
      <x:c r="I86" s="40" t="n">
        <x:v>572000</x:v>
      </x:c>
      <x:c r="J86" s="40" t="n">
        <x:f>IFERROR(I86/E86,0)</x:f>
        <x:v>2600</x:v>
      </x:c>
      <x:c r="K86" s="40" t="n">
        <x:f>H86*J86</x:f>
        <x:v>572000</x:v>
      </x:c>
      <x:c r="L86" s="39" t="n">
        <x:v>1</x:v>
      </x:c>
      <x:c r="M86" s="38" t="str">
        <x:f>IF(H86&lt;=0,"AGOTADO",IF(H86&lt;=L86,"BAJO","OK"))</x:f>
        <x:v>OK</x:v>
      </x:c>
      <x:c r="N86" s="41" t="str"/>
    </x:row>
    <x:row r="87">
      <x:c r="A87" s="37" t="str">
        <x:v>OTR-016</x:v>
      </x:c>
      <x:c r="B87" s="38" t="str">
        <x:v>Chupas 1 5/16</x:v>
      </x:c>
      <x:c r="C87" s="38" t="str">
        <x:v>Repuestos</x:v>
      </x:c>
      <x:c r="D87" s="38" t="str">
        <x:v>Unidad</x:v>
      </x:c>
      <x:c r="E87" s="39" t="n">
        <x:v>28</x:v>
      </x:c>
      <x:c r="F87" s="39" t="n">
        <x:f>SUMIFS(Movimientos!$D:$D,Movimientos!$B:$B,A87,Movimientos!$C:$C,"Entrada")</x:f>
        <x:v>0</x:v>
      </x:c>
      <x:c r="G87" s="39" t="n">
        <x:f>SUMIFS(Movimientos!$D:$D,Movimientos!$B:$B,A87,Movimientos!$C:$C,"Venta")</x:f>
        <x:v>0</x:v>
      </x:c>
      <x:c r="H87" s="39" t="n">
        <x:f>E87+F87-G87</x:f>
        <x:v>28</x:v>
      </x:c>
      <x:c r="I87" s="40" t="n">
        <x:v>64000</x:v>
      </x:c>
      <x:c r="J87" s="40" t="n">
        <x:f>IFERROR(I87/E87,0)</x:f>
        <x:v>2285.714285714286</x:v>
      </x:c>
      <x:c r="K87" s="40" t="n">
        <x:f>H87*J87</x:f>
        <x:v>64000</x:v>
      </x:c>
      <x:c r="L87" s="39" t="n">
        <x:v>1</x:v>
      </x:c>
      <x:c r="M87" s="38" t="str">
        <x:f>IF(H87&lt;=0,"AGOTADO",IF(H87&lt;=L87,"BAJO","OK"))</x:f>
        <x:v>OK</x:v>
      </x:c>
      <x:c r="N87" s="41" t="str"/>
    </x:row>
    <x:row r="88">
      <x:c r="A88" s="37" t="str">
        <x:v>OTR-017</x:v>
      </x:c>
      <x:c r="B88" s="38" t="str">
        <x:v>Chupas 1 1/8</x:v>
      </x:c>
      <x:c r="C88" s="38" t="str">
        <x:v>Repuestos</x:v>
      </x:c>
      <x:c r="D88" s="38" t="str">
        <x:v>Unidad</x:v>
      </x:c>
      <x:c r="E88" s="39" t="n">
        <x:v>60</x:v>
      </x:c>
      <x:c r="F88" s="39" t="n">
        <x:f>SUMIFS(Movimientos!$D:$D,Movimientos!$B:$B,A88,Movimientos!$C:$C,"Entrada")</x:f>
        <x:v>0</x:v>
      </x:c>
      <x:c r="G88" s="39" t="n">
        <x:f>SUMIFS(Movimientos!$D:$D,Movimientos!$B:$B,A88,Movimientos!$C:$C,"Venta")</x:f>
        <x:v>0</x:v>
      </x:c>
      <x:c r="H88" s="39" t="n">
        <x:f>E88+F88-G88</x:f>
        <x:v>60</x:v>
      </x:c>
      <x:c r="I88" s="40" t="n">
        <x:v>138000</x:v>
      </x:c>
      <x:c r="J88" s="40" t="n">
        <x:f>IFERROR(I88/E88,0)</x:f>
        <x:v>2300</x:v>
      </x:c>
      <x:c r="K88" s="40" t="n">
        <x:f>H88*J88</x:f>
        <x:v>138000</x:v>
      </x:c>
      <x:c r="L88" s="39" t="n">
        <x:v>1</x:v>
      </x:c>
      <x:c r="M88" s="38" t="str">
        <x:f>IF(H88&lt;=0,"AGOTADO",IF(H88&lt;=L88,"BAJO","OK"))</x:f>
        <x:v>OK</x:v>
      </x:c>
      <x:c r="N88" s="41" t="str"/>
    </x:row>
    <x:row r="89">
      <x:c r="A89" s="37" t="str">
        <x:v>OTR-018</x:v>
      </x:c>
      <x:c r="B89" s="38" t="str">
        <x:v>Silicona gris</x:v>
      </x:c>
      <x:c r="C89" s="38" t="str">
        <x:v>Químicos</x:v>
      </x:c>
      <x:c r="D89" s="38" t="str">
        <x:v>Unidad</x:v>
      </x:c>
      <x:c r="E89" s="39" t="n">
        <x:v>12</x:v>
      </x:c>
      <x:c r="F89" s="39" t="n">
        <x:f>SUMIFS(Movimientos!$D:$D,Movimientos!$B:$B,A89,Movimientos!$C:$C,"Entrada")</x:f>
        <x:v>0</x:v>
      </x:c>
      <x:c r="G89" s="39" t="n">
        <x:f>SUMIFS(Movimientos!$D:$D,Movimientos!$B:$B,A89,Movimientos!$C:$C,"Venta")</x:f>
        <x:v>0</x:v>
      </x:c>
      <x:c r="H89" s="39" t="n">
        <x:f>E89+F89-G89</x:f>
        <x:v>12</x:v>
      </x:c>
      <x:c r="I89" s="40" t="n">
        <x:v>164000</x:v>
      </x:c>
      <x:c r="J89" s="40" t="n">
        <x:f>IFERROR(I89/E89,0)</x:f>
        <x:v>13666.666666666666</x:v>
      </x:c>
      <x:c r="K89" s="40" t="n">
        <x:f>H89*J89</x:f>
        <x:v>164000</x:v>
      </x:c>
      <x:c r="L89" s="39" t="n">
        <x:v>1</x:v>
      </x:c>
      <x:c r="M89" s="38" t="str">
        <x:f>IF(H89&lt;=0,"AGOTADO",IF(H89&lt;=L89,"BAJO","OK"))</x:f>
        <x:v>OK</x:v>
      </x:c>
      <x:c r="N89" s="41" t="str"/>
    </x:row>
    <x:row r="90">
      <x:c r="A90" s="37" t="str">
        <x:v>FRI-001</x:v>
      </x:c>
      <x:c r="B90" s="38" t="str">
        <x:v>9134 X FX verde por rueda</x:v>
      </x:c>
      <x:c r="C90" s="38" t="str">
        <x:v>Fricción</x:v>
      </x:c>
      <x:c r="D90" s="38" t="str">
        <x:v>Unidad</x:v>
      </x:c>
      <x:c r="E90" s="39" t="n">
        <x:v>6</x:v>
      </x:c>
      <x:c r="F90" s="39" t="n">
        <x:f>SUMIFS(Movimientos!$D:$D,Movimientos!$B:$B,A90,Movimientos!$C:$C,"Entrada")</x:f>
        <x:v>0</x:v>
      </x:c>
      <x:c r="G90" s="39" t="n">
        <x:f>SUMIFS(Movimientos!$D:$D,Movimientos!$B:$B,A90,Movimientos!$C:$C,"Venta")</x:f>
        <x:v>0</x:v>
      </x:c>
      <x:c r="H90" s="39" t="n">
        <x:f>E90+F90-G90</x:f>
        <x:v>6</x:v>
      </x:c>
      <x:c r="I90" s="40" t="n">
        <x:v>660000</x:v>
      </x:c>
      <x:c r="J90" s="40" t="n">
        <x:f>IFERROR(I90/E90,0)</x:f>
        <x:v>110000</x:v>
      </x:c>
      <x:c r="K90" s="40" t="n">
        <x:f>H90*J90</x:f>
        <x:v>660000</x:v>
      </x:c>
      <x:c r="L90" s="39" t="n">
        <x:v>1</x:v>
      </x:c>
      <x:c r="M90" s="38" t="str">
        <x:f>IF(H90&lt;=0,"AGOTADO",IF(H90&lt;=L90,"BAJO","OK"))</x:f>
        <x:v>OK</x:v>
      </x:c>
      <x:c r="N90" s="41" t="str"/>
    </x:row>
    <x:row r="91">
      <x:c r="A91" s="37" t="str">
        <x:v>FRI-002</x:v>
      </x:c>
      <x:c r="B91" s="38" t="str">
        <x:v>20104 XX fibra</x:v>
      </x:c>
      <x:c r="C91" s="38" t="str">
        <x:v>Fricción</x:v>
      </x:c>
      <x:c r="D91" s="38" t="str">
        <x:v>Unidad</x:v>
      </x:c>
      <x:c r="E91" s="39" t="n">
        <x:v>4</x:v>
      </x:c>
      <x:c r="F91" s="39" t="n">
        <x:f>SUMIFS(Movimientos!$D:$D,Movimientos!$B:$B,A91,Movimientos!$C:$C,"Entrada")</x:f>
        <x:v>0</x:v>
      </x:c>
      <x:c r="G91" s="39" t="n">
        <x:f>SUMIFS(Movimientos!$D:$D,Movimientos!$B:$B,A91,Movimientos!$C:$C,"Venta")</x:f>
        <x:v>0</x:v>
      </x:c>
      <x:c r="H91" s="39" t="n">
        <x:f>E91+F91-G91</x:f>
        <x:v>4</x:v>
      </x:c>
      <x:c r="I91" s="40" t="n">
        <x:v>248000</x:v>
      </x:c>
      <x:c r="J91" s="40" t="n">
        <x:f>IFERROR(I91/E91,0)</x:f>
        <x:v>62000</x:v>
      </x:c>
      <x:c r="K91" s="40" t="n">
        <x:f>H91*J91</x:f>
        <x:v>248000</x:v>
      </x:c>
      <x:c r="L91" s="39" t="n">
        <x:v>1</x:v>
      </x:c>
      <x:c r="M91" s="38" t="str">
        <x:f>IF(H91&lt;=0,"AGOTADO",IF(H91&lt;=L91,"BAJO","OK"))</x:f>
        <x:v>OK</x:v>
      </x:c>
      <x:c r="N91" s="41" t="str"/>
    </x:row>
    <x:row r="92">
      <x:c r="A92" s="37" t="str">
        <x:v>FRI-003</x:v>
      </x:c>
      <x:c r="B92" s="38" t="str">
        <x:v>20104 X fibra</x:v>
      </x:c>
      <x:c r="C92" s="38" t="str">
        <x:v>Fricción</x:v>
      </x:c>
      <x:c r="D92" s="38" t="str">
        <x:v>Unidad</x:v>
      </x:c>
      <x:c r="E92" s="39" t="n">
        <x:v>2</x:v>
      </x:c>
      <x:c r="F92" s="39" t="n">
        <x:f>SUMIFS(Movimientos!$D:$D,Movimientos!$B:$B,A92,Movimientos!$C:$C,"Entrada")</x:f>
        <x:v>0</x:v>
      </x:c>
      <x:c r="G92" s="39" t="n">
        <x:f>SUMIFS(Movimientos!$D:$D,Movimientos!$B:$B,A92,Movimientos!$C:$C,"Venta")</x:f>
        <x:v>0</x:v>
      </x:c>
      <x:c r="H92" s="39" t="n">
        <x:f>E92+F92-G92</x:f>
        <x:v>2</x:v>
      </x:c>
      <x:c r="I92" s="40" t="n">
        <x:v>116000</x:v>
      </x:c>
      <x:c r="J92" s="40" t="n">
        <x:f>IFERROR(I92/E92,0)</x:f>
        <x:v>58000</x:v>
      </x:c>
      <x:c r="K92" s="40" t="n">
        <x:f>H92*J92</x:f>
        <x:v>116000</x:v>
      </x:c>
      <x:c r="L92" s="39" t="n">
        <x:v>1</x:v>
      </x:c>
      <x:c r="M92" s="38" t="str">
        <x:f>IF(H92&lt;=0,"AGOTADO",IF(H92&lt;=L92,"BAJO","OK"))</x:f>
        <x:v>OK</x:v>
      </x:c>
      <x:c r="N92" s="41" t="str"/>
    </x:row>
    <x:row r="93">
      <x:c r="A93" s="37" t="str">
        <x:v>FRI-004</x:v>
      </x:c>
      <x:c r="B93" s="38" t="str">
        <x:v>2137 XX fibra</x:v>
      </x:c>
      <x:c r="C93" s="38" t="str">
        <x:v>Fricción</x:v>
      </x:c>
      <x:c r="D93" s="38" t="str">
        <x:v>Unidad</x:v>
      </x:c>
      <x:c r="E93" s="39" t="n">
        <x:v>3</x:v>
      </x:c>
      <x:c r="F93" s="39" t="n">
        <x:f>SUMIFS(Movimientos!$D:$D,Movimientos!$B:$B,A93,Movimientos!$C:$C,"Entrada")</x:f>
        <x:v>0</x:v>
      </x:c>
      <x:c r="G93" s="39" t="n">
        <x:f>SUMIFS(Movimientos!$D:$D,Movimientos!$B:$B,A93,Movimientos!$C:$C,"Venta")</x:f>
        <x:v>0</x:v>
      </x:c>
      <x:c r="H93" s="39" t="n">
        <x:f>E93+F93-G93</x:f>
        <x:v>3</x:v>
      </x:c>
      <x:c r="I93" s="40" t="n">
        <x:v>186000</x:v>
      </x:c>
      <x:c r="J93" s="40" t="n">
        <x:f>IFERROR(I93/E93,0)</x:f>
        <x:v>62000</x:v>
      </x:c>
      <x:c r="K93" s="40" t="n">
        <x:f>H93*J93</x:f>
        <x:v>186000</x:v>
      </x:c>
      <x:c r="L93" s="39" t="n">
        <x:v>1</x:v>
      </x:c>
      <x:c r="M93" s="38" t="str">
        <x:f>IF(H93&lt;=0,"AGOTADO",IF(H93&lt;=L93,"BAJO","OK"))</x:f>
        <x:v>OK</x:v>
      </x:c>
      <x:c r="N93" s="41" t="str"/>
    </x:row>
    <x:row r="94">
      <x:c r="A94" s="37" t="str">
        <x:v>FRI-005</x:v>
      </x:c>
      <x:c r="B94" s="38" t="str">
        <x:v>20121 X FX verde</x:v>
      </x:c>
      <x:c r="C94" s="38" t="str">
        <x:v>Fricción</x:v>
      </x:c>
      <x:c r="D94" s="38" t="str">
        <x:v>Unidad</x:v>
      </x:c>
      <x:c r="E94" s="39" t="n">
        <x:v>6</x:v>
      </x:c>
      <x:c r="F94" s="39" t="n">
        <x:f>SUMIFS(Movimientos!$D:$D,Movimientos!$B:$B,A94,Movimientos!$C:$C,"Entrada")</x:f>
        <x:v>0</x:v>
      </x:c>
      <x:c r="G94" s="39" t="n">
        <x:f>SUMIFS(Movimientos!$D:$D,Movimientos!$B:$B,A94,Movimientos!$C:$C,"Venta")</x:f>
        <x:v>0</x:v>
      </x:c>
      <x:c r="H94" s="39" t="n">
        <x:f>E94+F94-G94</x:f>
        <x:v>6</x:v>
      </x:c>
      <x:c r="I94" s="40" t="n">
        <x:v>492000</x:v>
      </x:c>
      <x:c r="J94" s="40" t="n">
        <x:f>IFERROR(I94/E94,0)</x:f>
        <x:v>82000</x:v>
      </x:c>
      <x:c r="K94" s="40" t="n">
        <x:f>H94*J94</x:f>
        <x:v>492000</x:v>
      </x:c>
      <x:c r="L94" s="39" t="n">
        <x:v>1</x:v>
      </x:c>
      <x:c r="M94" s="38" t="str">
        <x:f>IF(H94&lt;=0,"AGOTADO",IF(H94&lt;=L94,"BAJO","OK"))</x:f>
        <x:v>OK</x:v>
      </x:c>
      <x:c r="N94" s="41" t="str"/>
    </x:row>
    <x:row r="95">
      <x:c r="A95" s="37" t="str">
        <x:v>FRI-006</x:v>
      </x:c>
      <x:c r="B95" s="38" t="str">
        <x:v>20121 fibra premier</x:v>
      </x:c>
      <x:c r="C95" s="38" t="str">
        <x:v>Fricción</x:v>
      </x:c>
      <x:c r="D95" s="38" t="str">
        <x:v>Unidad</x:v>
      </x:c>
      <x:c r="E95" s="39" t="n">
        <x:v>3</x:v>
      </x:c>
      <x:c r="F95" s="39" t="n">
        <x:f>SUMIFS(Movimientos!$D:$D,Movimientos!$B:$B,A95,Movimientos!$C:$C,"Entrada")</x:f>
        <x:v>0</x:v>
      </x:c>
      <x:c r="G95" s="39" t="n">
        <x:f>SUMIFS(Movimientos!$D:$D,Movimientos!$B:$B,A95,Movimientos!$C:$C,"Venta")</x:f>
        <x:v>0</x:v>
      </x:c>
      <x:c r="H95" s="39" t="n">
        <x:f>E95+F95-G95</x:f>
        <x:v>3</x:v>
      </x:c>
      <x:c r="I95" s="40" t="n">
        <x:v>402000</x:v>
      </x:c>
      <x:c r="J95" s="40" t="n">
        <x:f>IFERROR(I95/E95,0)</x:f>
        <x:v>134000</x:v>
      </x:c>
      <x:c r="K95" s="40" t="n">
        <x:f>H95*J95</x:f>
        <x:v>402000</x:v>
      </x:c>
      <x:c r="L95" s="39" t="n">
        <x:v>1</x:v>
      </x:c>
      <x:c r="M95" s="38" t="str">
        <x:f>IF(H95&lt;=0,"AGOTADO",IF(H95&lt;=L95,"BAJO","OK"))</x:f>
        <x:v>OK</x:v>
      </x:c>
      <x:c r="N95" s="41" t="str"/>
    </x:row>
    <x:row r="96">
      <x:c r="A96" s="37" t="str">
        <x:v>FRI-007</x:v>
      </x:c>
      <x:c r="B96" s="38" t="str">
        <x:v>20101 X fibra premier</x:v>
      </x:c>
      <x:c r="C96" s="38" t="str">
        <x:v>Fricción</x:v>
      </x:c>
      <x:c r="D96" s="38" t="str">
        <x:v>Unidad</x:v>
      </x:c>
      <x:c r="E96" s="39" t="n">
        <x:v>2</x:v>
      </x:c>
      <x:c r="F96" s="39" t="n">
        <x:f>SUMIFS(Movimientos!$D:$D,Movimientos!$B:$B,A96,Movimientos!$C:$C,"Entrada")</x:f>
        <x:v>0</x:v>
      </x:c>
      <x:c r="G96" s="39" t="n">
        <x:f>SUMIFS(Movimientos!$D:$D,Movimientos!$B:$B,A96,Movimientos!$C:$C,"Venta")</x:f>
        <x:v>0</x:v>
      </x:c>
      <x:c r="H96" s="39" t="n">
        <x:f>E96+F96-G96</x:f>
        <x:v>2</x:v>
      </x:c>
      <x:c r="I96" s="40" t="n">
        <x:v>196000</x:v>
      </x:c>
      <x:c r="J96" s="40" t="n">
        <x:f>IFERROR(I96/E96,0)</x:f>
        <x:v>98000</x:v>
      </x:c>
      <x:c r="K96" s="40" t="n">
        <x:f>H96*J96</x:f>
        <x:v>196000</x:v>
      </x:c>
      <x:c r="L96" s="39" t="n">
        <x:v>1</x:v>
      </x:c>
      <x:c r="M96" s="38" t="str">
        <x:f>IF(H96&lt;=0,"AGOTADO",IF(H96&lt;=L96,"BAJO","OK"))</x:f>
        <x:v>OK</x:v>
      </x:c>
      <x:c r="N96" s="41" t="str"/>
    </x:row>
    <x:row r="97">
      <x:c r="A97" s="37" t="str">
        <x:v>FRI-008</x:v>
      </x:c>
      <x:c r="B97" s="38" t="str">
        <x:v>20101 X FX gris</x:v>
      </x:c>
      <x:c r="C97" s="38" t="str">
        <x:v>Fricción</x:v>
      </x:c>
      <x:c r="D97" s="38" t="str">
        <x:v>Unidad</x:v>
      </x:c>
      <x:c r="E97" s="39" t="n">
        <x:v>3</x:v>
      </x:c>
      <x:c r="F97" s="39" t="n">
        <x:f>SUMIFS(Movimientos!$D:$D,Movimientos!$B:$B,A97,Movimientos!$C:$C,"Entrada")</x:f>
        <x:v>0</x:v>
      </x:c>
      <x:c r="G97" s="39" t="n">
        <x:f>SUMIFS(Movimientos!$D:$D,Movimientos!$B:$B,A97,Movimientos!$C:$C,"Venta")</x:f>
        <x:v>0</x:v>
      </x:c>
      <x:c r="H97" s="39" t="n">
        <x:f>E97+F97-G97</x:f>
        <x:v>3</x:v>
      </x:c>
      <x:c r="I97" s="40" t="n">
        <x:v>198000</x:v>
      </x:c>
      <x:c r="J97" s="40" t="n">
        <x:f>IFERROR(I97/E97,0)</x:f>
        <x:v>66000</x:v>
      </x:c>
      <x:c r="K97" s="40" t="n">
        <x:f>H97*J97</x:f>
        <x:v>198000</x:v>
      </x:c>
      <x:c r="L97" s="39" t="n">
        <x:v>1</x:v>
      </x:c>
      <x:c r="M97" s="38" t="str">
        <x:f>IF(H97&lt;=0,"AGOTADO",IF(H97&lt;=L97,"BAJO","OK"))</x:f>
        <x:v>OK</x:v>
      </x:c>
      <x:c r="N97" s="41" t="str"/>
    </x:row>
    <x:row r="98">
      <x:c r="A98" s="37" t="str">
        <x:v>FRI-009</x:v>
      </x:c>
      <x:c r="B98" s="38" t="str">
        <x:v>20101 FX gris</x:v>
      </x:c>
      <x:c r="C98" s="38" t="str">
        <x:v>Fricción</x:v>
      </x:c>
      <x:c r="D98" s="38" t="str">
        <x:v>Unidad</x:v>
      </x:c>
      <x:c r="E98" s="39" t="n">
        <x:v>4</x:v>
      </x:c>
      <x:c r="F98" s="39" t="n">
        <x:f>SUMIFS(Movimientos!$D:$D,Movimientos!$B:$B,A98,Movimientos!$C:$C,"Entrada")</x:f>
        <x:v>0</x:v>
      </x:c>
      <x:c r="G98" s="39" t="n">
        <x:f>SUMIFS(Movimientos!$D:$D,Movimientos!$B:$B,A98,Movimientos!$C:$C,"Venta")</x:f>
        <x:v>0</x:v>
      </x:c>
      <x:c r="H98" s="39" t="n">
        <x:f>E98+F98-G98</x:f>
        <x:v>4</x:v>
      </x:c>
      <x:c r="I98" s="40" t="n">
        <x:v>232000</x:v>
      </x:c>
      <x:c r="J98" s="40" t="n">
        <x:f>IFERROR(I98/E98,0)</x:f>
        <x:v>58000</x:v>
      </x:c>
      <x:c r="K98" s="40" t="n">
        <x:f>H98*J98</x:f>
        <x:v>232000</x:v>
      </x:c>
      <x:c r="L98" s="39" t="n">
        <x:v>1</x:v>
      </x:c>
      <x:c r="M98" s="38" t="str">
        <x:f>IF(H98&lt;=0,"AGOTADO",IF(H98&lt;=L98,"BAJO","OK"))</x:f>
        <x:v>OK</x:v>
      </x:c>
      <x:c r="N98" s="41" t="str"/>
    </x:row>
    <x:row r="99">
      <x:c r="A99" s="37" t="str">
        <x:v>FRI-010</x:v>
      </x:c>
      <x:c r="B99" s="38" t="str">
        <x:v>9388 X MC Blok</x:v>
      </x:c>
      <x:c r="C99" s="38" t="str">
        <x:v>Fricción</x:v>
      </x:c>
      <x:c r="D99" s="38" t="str">
        <x:v>Unidad</x:v>
      </x:c>
      <x:c r="E99" s="39" t="n">
        <x:v>7</x:v>
      </x:c>
      <x:c r="F99" s="39" t="n">
        <x:f>SUMIFS(Movimientos!$D:$D,Movimientos!$B:$B,A99,Movimientos!$C:$C,"Entrada")</x:f>
        <x:v>0</x:v>
      </x:c>
      <x:c r="G99" s="39" t="n">
        <x:f>SUMIFS(Movimientos!$D:$D,Movimientos!$B:$B,A99,Movimientos!$C:$C,"Venta")</x:f>
        <x:v>0</x:v>
      </x:c>
      <x:c r="H99" s="39" t="n">
        <x:f>E99+F99-G99</x:f>
        <x:v>7</x:v>
      </x:c>
      <x:c r="I99" s="40" t="n">
        <x:v>798000</x:v>
      </x:c>
      <x:c r="J99" s="40" t="n">
        <x:f>IFERROR(I99/E99,0)</x:f>
        <x:v>114000</x:v>
      </x:c>
      <x:c r="K99" s="40" t="n">
        <x:f>H99*J99</x:f>
        <x:v>798000</x:v>
      </x:c>
      <x:c r="L99" s="39" t="n">
        <x:v>1</x:v>
      </x:c>
      <x:c r="M99" s="38" t="str">
        <x:f>IF(H99&lt;=0,"AGOTADO",IF(H99&lt;=L99,"BAJO","OK"))</x:f>
        <x:v>OK</x:v>
      </x:c>
      <x:c r="N99" s="41" t="str"/>
    </x:row>
    <x:row r="100">
      <x:c r="A100" s="37" t="str">
        <x:v>FRI-011</x:v>
      </x:c>
      <x:c r="B100" s="38" t="str">
        <x:v>9388 MC Blok</x:v>
      </x:c>
      <x:c r="C100" s="38" t="str">
        <x:v>Fricción</x:v>
      </x:c>
      <x:c r="D100" s="38" t="str">
        <x:v>Unidad</x:v>
      </x:c>
      <x:c r="E100" s="39" t="n">
        <x:v>2</x:v>
      </x:c>
      <x:c r="F100" s="39" t="n">
        <x:f>SUMIFS(Movimientos!$D:$D,Movimientos!$B:$B,A100,Movimientos!$C:$C,"Entrada")</x:f>
        <x:v>0</x:v>
      </x:c>
      <x:c r="G100" s="39" t="n">
        <x:f>SUMIFS(Movimientos!$D:$D,Movimientos!$B:$B,A100,Movimientos!$C:$C,"Venta")</x:f>
        <x:v>0</x:v>
      </x:c>
      <x:c r="H100" s="39" t="n">
        <x:f>E100+F100-G100</x:f>
        <x:v>2</x:v>
      </x:c>
      <x:c r="I100" s="40" t="n">
        <x:v>208000</x:v>
      </x:c>
      <x:c r="J100" s="40" t="n">
        <x:f>IFERROR(I100/E100,0)</x:f>
        <x:v>104000</x:v>
      </x:c>
      <x:c r="K100" s="40" t="n">
        <x:f>H100*J100</x:f>
        <x:v>208000</x:v>
      </x:c>
      <x:c r="L100" s="39" t="n">
        <x:v>1</x:v>
      </x:c>
      <x:c r="M100" s="38" t="str">
        <x:f>IF(H100&lt;=0,"AGOTADO",IF(H100&lt;=L100,"BAJO","OK"))</x:f>
        <x:v>OK</x:v>
      </x:c>
      <x:c r="N100" s="41" t="str"/>
    </x:row>
    <x:row r="101">
      <x:c r="A101" s="37" t="str">
        <x:v>FRI-012</x:v>
      </x:c>
      <x:c r="B101" s="38" t="str">
        <x:v>9388 FX verde</x:v>
      </x:c>
      <x:c r="C101" s="38" t="str">
        <x:v>Fricción</x:v>
      </x:c>
      <x:c r="D101" s="38" t="str">
        <x:v>Unidad</x:v>
      </x:c>
      <x:c r="E101" s="39" t="n">
        <x:v>1</x:v>
      </x:c>
      <x:c r="F101" s="39" t="n">
        <x:f>SUMIFS(Movimientos!$D:$D,Movimientos!$B:$B,A101,Movimientos!$C:$C,"Entrada")</x:f>
        <x:v>0</x:v>
      </x:c>
      <x:c r="G101" s="39" t="n">
        <x:f>SUMIFS(Movimientos!$D:$D,Movimientos!$B:$B,A101,Movimientos!$C:$C,"Venta")</x:f>
        <x:v>0</x:v>
      </x:c>
      <x:c r="H101" s="39" t="n">
        <x:f>E101+F101-G101</x:f>
        <x:v>1</x:v>
      </x:c>
      <x:c r="I101" s="40" t="n">
        <x:v>80000</x:v>
      </x:c>
      <x:c r="J101" s="40" t="n">
        <x:f>IFERROR(I101/E101,0)</x:f>
        <x:v>80000</x:v>
      </x:c>
      <x:c r="K101" s="40" t="n">
        <x:f>H101*J101</x:f>
        <x:v>80000</x:v>
      </x:c>
      <x:c r="L101" s="39" t="n">
        <x:v>1</x:v>
      </x:c>
      <x:c r="M101" s="38" t="str">
        <x:f>IF(H101&lt;=0,"AGOTADO",IF(H101&lt;=L101,"BAJO","OK"))</x:f>
        <x:v>BAJO</x:v>
      </x:c>
      <x:c r="N101" s="41" t="str"/>
    </x:row>
    <x:row r="102">
      <x:c r="A102" s="37" t="str">
        <x:v>FRI-013</x:v>
      </x:c>
      <x:c r="B102" s="38" t="str">
        <x:v>9133 X MC Blok</x:v>
      </x:c>
      <x:c r="C102" s="38" t="str">
        <x:v>Fricción</x:v>
      </x:c>
      <x:c r="D102" s="38" t="str">
        <x:v>Unidad</x:v>
      </x:c>
      <x:c r="E102" s="39" t="n">
        <x:v>7</x:v>
      </x:c>
      <x:c r="F102" s="39" t="n">
        <x:f>SUMIFS(Movimientos!$D:$D,Movimientos!$B:$B,A102,Movimientos!$C:$C,"Entrada")</x:f>
        <x:v>0</x:v>
      </x:c>
      <x:c r="G102" s="39" t="n">
        <x:f>SUMIFS(Movimientos!$D:$D,Movimientos!$B:$B,A102,Movimientos!$C:$C,"Venta")</x:f>
        <x:v>0</x:v>
      </x:c>
      <x:c r="H102" s="39" t="n">
        <x:f>E102+F102-G102</x:f>
        <x:v>7</x:v>
      </x:c>
      <x:c r="I102" s="40" t="n">
        <x:v>910000</x:v>
      </x:c>
      <x:c r="J102" s="40" t="n">
        <x:f>IFERROR(I102/E102,0)</x:f>
        <x:v>130000</x:v>
      </x:c>
      <x:c r="K102" s="40" t="n">
        <x:f>H102*J102</x:f>
        <x:v>910000</x:v>
      </x:c>
      <x:c r="L102" s="39" t="n">
        <x:v>1</x:v>
      </x:c>
      <x:c r="M102" s="38" t="str">
        <x:f>IF(H102&lt;=0,"AGOTADO",IF(H102&lt;=L102,"BAJO","OK"))</x:f>
        <x:v>OK</x:v>
      </x:c>
      <x:c r="N102" s="41" t="str"/>
    </x:row>
    <x:row r="103">
      <x:c r="A103" s="37" t="str">
        <x:v>FRI-014</x:v>
      </x:c>
      <x:c r="B103" s="38" t="str">
        <x:v>9133 MC Blok</x:v>
      </x:c>
      <x:c r="C103" s="38" t="str">
        <x:v>Fricción</x:v>
      </x:c>
      <x:c r="D103" s="38" t="str">
        <x:v>Unidad</x:v>
      </x:c>
      <x:c r="E103" s="39" t="n">
        <x:v>3</x:v>
      </x:c>
      <x:c r="F103" s="39" t="n">
        <x:f>SUMIFS(Movimientos!$D:$D,Movimientos!$B:$B,A103,Movimientos!$C:$C,"Entrada")</x:f>
        <x:v>0</x:v>
      </x:c>
      <x:c r="G103" s="39" t="n">
        <x:f>SUMIFS(Movimientos!$D:$D,Movimientos!$B:$B,A103,Movimientos!$C:$C,"Venta")</x:f>
        <x:v>0</x:v>
      </x:c>
      <x:c r="H103" s="39" t="n">
        <x:f>E103+F103-G103</x:f>
        <x:v>3</x:v>
      </x:c>
      <x:c r="I103" s="40" t="n">
        <x:v>354000</x:v>
      </x:c>
      <x:c r="J103" s="40" t="n">
        <x:f>IFERROR(I103/E103,0)</x:f>
        <x:v>118000</x:v>
      </x:c>
      <x:c r="K103" s="40" t="n">
        <x:f>H103*J103</x:f>
        <x:v>354000</x:v>
      </x:c>
      <x:c r="L103" s="39" t="n">
        <x:v>1</x:v>
      </x:c>
      <x:c r="M103" s="38" t="str">
        <x:f>IF(H103&lt;=0,"AGOTADO",IF(H103&lt;=L103,"BAJO","OK"))</x:f>
        <x:v>OK</x:v>
      </x:c>
      <x:c r="N103" s="41" t="str"/>
    </x:row>
    <x:row r="104">
      <x:c r="A104" s="37" t="str">
        <x:v>FRI-015</x:v>
      </x:c>
      <x:c r="B104" s="38" t="str">
        <x:v>9144 X MC Blok</x:v>
      </x:c>
      <x:c r="C104" s="38" t="str">
        <x:v>Fricción</x:v>
      </x:c>
      <x:c r="D104" s="38" t="str">
        <x:v>Unidad</x:v>
      </x:c>
      <x:c r="E104" s="39" t="n">
        <x:v>2</x:v>
      </x:c>
      <x:c r="F104" s="39" t="n">
        <x:f>SUMIFS(Movimientos!$D:$D,Movimientos!$B:$B,A104,Movimientos!$C:$C,"Entrada")</x:f>
        <x:v>0</x:v>
      </x:c>
      <x:c r="G104" s="39" t="n">
        <x:f>SUMIFS(Movimientos!$D:$D,Movimientos!$B:$B,A104,Movimientos!$C:$C,"Venta")</x:f>
        <x:v>0</x:v>
      </x:c>
      <x:c r="H104" s="39" t="n">
        <x:f>E104+F104-G104</x:f>
        <x:v>2</x:v>
      </x:c>
      <x:c r="I104" s="40" t="n">
        <x:v>260000</x:v>
      </x:c>
      <x:c r="J104" s="40" t="n">
        <x:f>IFERROR(I104/E104,0)</x:f>
        <x:v>130000</x:v>
      </x:c>
      <x:c r="K104" s="40" t="n">
        <x:f>H104*J104</x:f>
        <x:v>260000</x:v>
      </x:c>
      <x:c r="L104" s="39" t="n">
        <x:v>1</x:v>
      </x:c>
      <x:c r="M104" s="38" t="str">
        <x:f>IF(H104&lt;=0,"AGOTADO",IF(H104&lt;=L104,"BAJO","OK"))</x:f>
        <x:v>OK</x:v>
      </x:c>
      <x:c r="N104" s="41" t="str"/>
    </x:row>
    <x:row r="105">
      <x:c r="A105" s="37" t="str">
        <x:v>FRI-016</x:v>
      </x:c>
      <x:c r="B105" s="38" t="str">
        <x:v>9144 MC Blok</x:v>
      </x:c>
      <x:c r="C105" s="38" t="str">
        <x:v>Fricción</x:v>
      </x:c>
      <x:c r="D105" s="38" t="str">
        <x:v>Unidad</x:v>
      </x:c>
      <x:c r="E105" s="39" t="n">
        <x:v>3</x:v>
      </x:c>
      <x:c r="F105" s="39" t="n">
        <x:f>SUMIFS(Movimientos!$D:$D,Movimientos!$B:$B,A105,Movimientos!$C:$C,"Entrada")</x:f>
        <x:v>0</x:v>
      </x:c>
      <x:c r="G105" s="39" t="n">
        <x:f>SUMIFS(Movimientos!$D:$D,Movimientos!$B:$B,A105,Movimientos!$C:$C,"Venta")</x:f>
        <x:v>0</x:v>
      </x:c>
      <x:c r="H105" s="39" t="n">
        <x:f>E105+F105-G105</x:f>
        <x:v>3</x:v>
      </x:c>
      <x:c r="I105" s="40" t="n">
        <x:v>360000</x:v>
      </x:c>
      <x:c r="J105" s="40" t="n">
        <x:f>IFERROR(I105/E105,0)</x:f>
        <x:v>120000</x:v>
      </x:c>
      <x:c r="K105" s="40" t="n">
        <x:f>H105*J105</x:f>
        <x:v>360000</x:v>
      </x:c>
      <x:c r="L105" s="39" t="n">
        <x:v>1</x:v>
      </x:c>
      <x:c r="M105" s="38" t="str">
        <x:f>IF(H105&lt;=0,"AGOTADO",IF(H105&lt;=L105,"BAJO","OK"))</x:f>
        <x:v>OK</x:v>
      </x:c>
      <x:c r="N105" s="41" t="str"/>
    </x:row>
    <x:row r="106">
      <x:c r="A106" s="37" t="str">
        <x:v>FRI-017</x:v>
      </x:c>
      <x:c r="B106" s="38" t="str">
        <x:v>9318 MC Blok</x:v>
      </x:c>
      <x:c r="C106" s="38" t="str">
        <x:v>Fricción</x:v>
      </x:c>
      <x:c r="D106" s="38" t="str">
        <x:v>Unidad</x:v>
      </x:c>
      <x:c r="E106" s="39" t="n">
        <x:v>4</x:v>
      </x:c>
      <x:c r="F106" s="39" t="n">
        <x:f>SUMIFS(Movimientos!$D:$D,Movimientos!$B:$B,A106,Movimientos!$C:$C,"Entrada")</x:f>
        <x:v>0</x:v>
      </x:c>
      <x:c r="G106" s="39" t="n">
        <x:f>SUMIFS(Movimientos!$D:$D,Movimientos!$B:$B,A106,Movimientos!$C:$C,"Venta")</x:f>
        <x:v>0</x:v>
      </x:c>
      <x:c r="H106" s="39" t="n">
        <x:f>E106+F106-G106</x:f>
        <x:v>4</x:v>
      </x:c>
      <x:c r="I106" s="40" t="n">
        <x:v>376000</x:v>
      </x:c>
      <x:c r="J106" s="40" t="n">
        <x:f>IFERROR(I106/E106,0)</x:f>
        <x:v>94000</x:v>
      </x:c>
      <x:c r="K106" s="40" t="n">
        <x:f>H106*J106</x:f>
        <x:v>376000</x:v>
      </x:c>
      <x:c r="L106" s="39" t="n">
        <x:v>1</x:v>
      </x:c>
      <x:c r="M106" s="38" t="str">
        <x:f>IF(H106&lt;=0,"AGOTADO",IF(H106&lt;=L106,"BAJO","OK"))</x:f>
        <x:v>OK</x:v>
      </x:c>
      <x:c r="N106" s="41" t="str"/>
    </x:row>
    <x:row r="107">
      <x:c r="A107" s="42" t="str">
        <x:v>FRI-018</x:v>
      </x:c>
      <x:c r="B107" s="43" t="str">
        <x:v>9217 MC Blok</x:v>
      </x:c>
      <x:c r="C107" s="43" t="str">
        <x:v>Fricción</x:v>
      </x:c>
      <x:c r="D107" s="43" t="str">
        <x:v>Unidad</x:v>
      </x:c>
      <x:c r="E107" s="44" t="n">
        <x:v>1</x:v>
      </x:c>
      <x:c r="F107" s="44" t="n">
        <x:f>SUMIFS(Movimientos!$D:$D,Movimientos!$B:$B,A107,Movimientos!$C:$C,"Entrada")</x:f>
        <x:v>0</x:v>
      </x:c>
      <x:c r="G107" s="44" t="n">
        <x:f>SUMIFS(Movimientos!$D:$D,Movimientos!$B:$B,A107,Movimientos!$C:$C,"Venta")</x:f>
        <x:v>0</x:v>
      </x:c>
      <x:c r="H107" s="44" t="n">
        <x:f>E107+F107-G107</x:f>
        <x:v>1</x:v>
      </x:c>
      <x:c r="I107" s="45" t="n">
        <x:v>140000</x:v>
      </x:c>
      <x:c r="J107" s="45" t="n">
        <x:f>IFERROR(I107/E107,0)</x:f>
        <x:v>140000</x:v>
      </x:c>
      <x:c r="K107" s="45" t="n">
        <x:f>H107*J107</x:f>
        <x:v>140000</x:v>
      </x:c>
      <x:c r="L107" s="44" t="n">
        <x:v>1</x:v>
      </x:c>
      <x:c r="M107" s="43" t="str">
        <x:f>IF(H107&lt;=0,"AGOTADO",IF(H107&lt;=L107,"BAJO","OK"))</x:f>
        <x:v>BAJO</x:v>
      </x:c>
      <x:c r="N107" s="46" t="str"/>
    </x:row>
  </x:sheetData>
  <x:conditionalFormatting sqref="M2:M107">
    <x:cfRule type="expression" dxfId="0" priority="1">
      <x:formula>M2="AGOTADO"</x:formula>
    </x:cfRule>
    <x:cfRule type="expression" dxfId="1" priority="2">
      <x:formula>M2="BAJO"</x:formula>
    </x:cfRule>
    <x:cfRule type="expression" dxfId="2" priority="3">
      <x:formula>M2="OK"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0041f2421a43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24" hidden="0" customWidth="1"/>
    <x:col min="7" max="7" width="18" hidden="0" customWidth="1"/>
    <x:col min="8" max="8" width="30" hidden="0" customWidth="1"/>
  </x:cols>
  <x:sheetData>
    <x:row r="1">
      <x:c r="A1" s="60" t="str">
        <x:v>Fecha</x:v>
      </x:c>
      <x:c r="B1" s="60" t="str">
        <x:v>Código producto</x:v>
      </x:c>
      <x:c r="C1" s="60" t="str">
        <x:v>Tipo</x:v>
      </x:c>
      <x:c r="D1" s="60" t="str">
        <x:v>Cantidad</x:v>
      </x:c>
      <x:c r="E1" s="60" t="str">
        <x:v>Precio unitario venta</x:v>
      </x:c>
      <x:c r="F1" s="60" t="str">
        <x:v>Cliente / proveedor</x:v>
      </x:c>
      <x:c r="G1" s="60" t="str">
        <x:v>Documento</x:v>
      </x:c>
      <x:c r="H1" s="60" t="str">
        <x:v>Observaciones</x:v>
      </x:c>
    </x:row>
    <x:row r="2">
      <x:c r="A2" s="65"/>
      <x:c r="B2"/>
      <x:c r="C2"/>
      <x:c r="D2" s="29"/>
      <x:c r="E2" s="33"/>
      <x:c r="F2"/>
      <x:c r="G2"/>
      <x:c r="H2"/>
    </x:row>
    <x:row r="3">
      <x:c r="A3" s="65"/>
      <x:c r="B3"/>
      <x:c r="C3"/>
      <x:c r="D3" s="29"/>
      <x:c r="E3" s="33"/>
      <x:c r="F3"/>
      <x:c r="G3"/>
      <x:c r="H3"/>
    </x:row>
    <x:row r="4">
      <x:c r="A4" s="65"/>
      <x:c r="B4"/>
      <x:c r="C4"/>
      <x:c r="D4" s="29"/>
      <x:c r="E4" s="33"/>
      <x:c r="F4"/>
      <x:c r="G4"/>
      <x:c r="H4"/>
    </x:row>
    <x:row r="5">
      <x:c r="A5" s="65"/>
      <x:c r="B5"/>
      <x:c r="C5"/>
      <x:c r="D5" s="29"/>
      <x:c r="E5" s="33"/>
      <x:c r="F5"/>
      <x:c r="G5"/>
      <x:c r="H5"/>
    </x:row>
    <x:row r="6">
      <x:c r="A6" s="65"/>
      <x:c r="B6"/>
      <x:c r="C6"/>
      <x:c r="D6" s="29"/>
      <x:c r="E6" s="33"/>
      <x:c r="F6"/>
      <x:c r="G6"/>
      <x:c r="H6"/>
    </x:row>
    <x:row r="7">
      <x:c r="A7" s="65"/>
      <x:c r="B7"/>
      <x:c r="C7"/>
      <x:c r="D7" s="29"/>
      <x:c r="E7" s="33"/>
      <x:c r="F7"/>
      <x:c r="G7"/>
      <x:c r="H7"/>
    </x:row>
    <x:row r="8">
      <x:c r="A8" s="65"/>
      <x:c r="B8"/>
      <x:c r="C8"/>
      <x:c r="D8" s="29"/>
      <x:c r="E8" s="33"/>
      <x:c r="F8"/>
      <x:c r="G8"/>
      <x:c r="H8"/>
    </x:row>
    <x:row r="9">
      <x:c r="A9" s="65"/>
      <x:c r="B9"/>
      <x:c r="C9"/>
      <x:c r="D9" s="29"/>
      <x:c r="E9" s="33"/>
      <x:c r="F9"/>
      <x:c r="G9"/>
      <x:c r="H9"/>
    </x:row>
    <x:row r="10">
      <x:c r="A10" s="65"/>
      <x:c r="B10"/>
      <x:c r="C10"/>
      <x:c r="D10" s="29"/>
      <x:c r="E10" s="33"/>
      <x:c r="F10"/>
      <x:c r="G10"/>
      <x:c r="H10"/>
    </x:row>
    <x:row r="11">
      <x:c r="A11" s="65"/>
      <x:c r="B11"/>
      <x:c r="C11"/>
      <x:c r="D11" s="29"/>
      <x:c r="E11" s="33"/>
      <x:c r="F11"/>
      <x:c r="G11"/>
      <x:c r="H11"/>
    </x:row>
    <x:row r="12">
      <x:c r="A12" s="65"/>
      <x:c r="B12"/>
      <x:c r="C12"/>
      <x:c r="D12" s="29"/>
      <x:c r="E12" s="33"/>
      <x:c r="F12"/>
      <x:c r="G12"/>
      <x:c r="H12"/>
    </x:row>
    <x:row r="13">
      <x:c r="A13" s="65"/>
      <x:c r="B13"/>
      <x:c r="C13"/>
      <x:c r="D13" s="29"/>
      <x:c r="E13" s="33"/>
      <x:c r="F13"/>
      <x:c r="G13"/>
      <x:c r="H13"/>
    </x:row>
    <x:row r="14">
      <x:c r="A14" s="65"/>
      <x:c r="B14"/>
      <x:c r="C14"/>
      <x:c r="D14" s="29"/>
      <x:c r="E14" s="33"/>
      <x:c r="F14"/>
      <x:c r="G14"/>
      <x:c r="H14"/>
    </x:row>
    <x:row r="15">
      <x:c r="A15" s="65"/>
      <x:c r="B15"/>
      <x:c r="C15"/>
      <x:c r="D15" s="29"/>
      <x:c r="E15" s="33"/>
      <x:c r="F15"/>
      <x:c r="G15"/>
      <x:c r="H15"/>
    </x:row>
    <x:row r="16">
      <x:c r="A16" s="65"/>
      <x:c r="B16"/>
      <x:c r="C16"/>
      <x:c r="D16" s="29"/>
      <x:c r="E16" s="33"/>
      <x:c r="F16"/>
      <x:c r="G16"/>
      <x:c r="H16"/>
    </x:row>
    <x:row r="17">
      <x:c r="A17" s="65"/>
      <x:c r="B17"/>
      <x:c r="C17"/>
      <x:c r="D17" s="29"/>
      <x:c r="E17" s="33"/>
      <x:c r="F17"/>
      <x:c r="G17"/>
      <x:c r="H17"/>
    </x:row>
    <x:row r="18">
      <x:c r="A18" s="65"/>
      <x:c r="B18"/>
      <x:c r="C18"/>
      <x:c r="D18" s="29"/>
      <x:c r="E18" s="33"/>
      <x:c r="F18"/>
      <x:c r="G18"/>
      <x:c r="H18"/>
    </x:row>
    <x:row r="19">
      <x:c r="A19" s="65"/>
      <x:c r="B19"/>
      <x:c r="C19"/>
      <x:c r="D19" s="29"/>
      <x:c r="E19" s="33"/>
      <x:c r="F19"/>
      <x:c r="G19"/>
      <x:c r="H19"/>
    </x:row>
    <x:row r="20">
      <x:c r="A20" s="65"/>
      <x:c r="B20"/>
      <x:c r="C20"/>
      <x:c r="D20" s="29"/>
      <x:c r="E20" s="33"/>
      <x:c r="F20"/>
      <x:c r="G20"/>
      <x:c r="H20"/>
    </x:row>
    <x:row r="21">
      <x:c r="A21" s="65"/>
      <x:c r="B21"/>
      <x:c r="C21"/>
      <x:c r="D21" s="29"/>
      <x:c r="E21" s="33"/>
      <x:c r="F21"/>
      <x:c r="G21"/>
      <x:c r="H21"/>
    </x:row>
    <x:row r="22">
      <x:c r="A22" s="65"/>
      <x:c r="B22"/>
      <x:c r="C22"/>
      <x:c r="D22" s="29"/>
      <x:c r="E22" s="33"/>
      <x:c r="F22"/>
      <x:c r="G22"/>
      <x:c r="H22"/>
    </x:row>
    <x:row r="23">
      <x:c r="A23" s="65"/>
      <x:c r="B23"/>
      <x:c r="C23"/>
      <x:c r="D23" s="29"/>
      <x:c r="E23" s="33"/>
      <x:c r="F23"/>
      <x:c r="G23"/>
      <x:c r="H23"/>
    </x:row>
    <x:row r="24">
      <x:c r="A24" s="65"/>
      <x:c r="B24"/>
      <x:c r="C24"/>
      <x:c r="D24" s="29"/>
      <x:c r="E24" s="33"/>
      <x:c r="F24"/>
      <x:c r="G24"/>
      <x:c r="H24"/>
    </x:row>
    <x:row r="25">
      <x:c r="A25" s="65"/>
      <x:c r="B25"/>
      <x:c r="C25"/>
      <x:c r="D25" s="29"/>
      <x:c r="E25" s="33"/>
      <x:c r="F25"/>
      <x:c r="G25"/>
      <x:c r="H25"/>
    </x:row>
    <x:row r="26">
      <x:c r="A26" s="65"/>
      <x:c r="B26"/>
      <x:c r="C26"/>
      <x:c r="D26" s="29"/>
      <x:c r="E26" s="33"/>
      <x:c r="F26"/>
      <x:c r="G26"/>
      <x:c r="H26"/>
    </x:row>
    <x:row r="27">
      <x:c r="A27" s="65"/>
      <x:c r="B27"/>
      <x:c r="C27"/>
      <x:c r="D27" s="29"/>
      <x:c r="E27" s="33"/>
      <x:c r="F27"/>
      <x:c r="G27"/>
      <x:c r="H27"/>
    </x:row>
    <x:row r="28">
      <x:c r="A28" s="65"/>
      <x:c r="B28"/>
      <x:c r="C28"/>
      <x:c r="D28" s="29"/>
      <x:c r="E28" s="33"/>
      <x:c r="F28"/>
      <x:c r="G28"/>
      <x:c r="H28"/>
    </x:row>
    <x:row r="29">
      <x:c r="A29" s="65"/>
      <x:c r="B29"/>
      <x:c r="C29"/>
      <x:c r="D29" s="29"/>
      <x:c r="E29" s="33"/>
      <x:c r="F29"/>
      <x:c r="G29"/>
      <x:c r="H29"/>
    </x:row>
    <x:row r="30">
      <x:c r="A30" s="65"/>
      <x:c r="B30"/>
      <x:c r="C30"/>
      <x:c r="D30" s="29"/>
      <x:c r="E30" s="33"/>
      <x:c r="F30"/>
      <x:c r="G30"/>
      <x:c r="H30"/>
    </x:row>
    <x:row r="31">
      <x:c r="A31" s="65"/>
      <x:c r="B31"/>
      <x:c r="C31"/>
      <x:c r="D31" s="29"/>
      <x:c r="E31" s="33"/>
      <x:c r="F31"/>
      <x:c r="G31"/>
      <x:c r="H31"/>
    </x:row>
    <x:row r="32">
      <x:c r="A32" s="65"/>
      <x:c r="B32"/>
      <x:c r="C32"/>
      <x:c r="D32" s="29"/>
      <x:c r="E32" s="33"/>
      <x:c r="F32"/>
      <x:c r="G32"/>
      <x:c r="H32"/>
    </x:row>
    <x:row r="33">
      <x:c r="A33" s="65"/>
      <x:c r="B33"/>
      <x:c r="C33"/>
      <x:c r="D33" s="29"/>
      <x:c r="E33" s="33"/>
      <x:c r="F33"/>
      <x:c r="G33"/>
      <x:c r="H33"/>
    </x:row>
    <x:row r="34">
      <x:c r="A34" s="65"/>
      <x:c r="B34"/>
      <x:c r="C34"/>
      <x:c r="D34" s="29"/>
      <x:c r="E34" s="33"/>
      <x:c r="F34"/>
      <x:c r="G34"/>
      <x:c r="H34"/>
    </x:row>
    <x:row r="35">
      <x:c r="A35" s="65"/>
      <x:c r="B35"/>
      <x:c r="C35"/>
      <x:c r="D35" s="29"/>
      <x:c r="E35" s="33"/>
      <x:c r="F35"/>
      <x:c r="G35"/>
      <x:c r="H35"/>
    </x:row>
    <x:row r="36">
      <x:c r="A36" s="65"/>
      <x:c r="B36"/>
      <x:c r="C36"/>
      <x:c r="D36" s="29"/>
      <x:c r="E36" s="33"/>
      <x:c r="F36"/>
      <x:c r="G36"/>
      <x:c r="H36"/>
    </x:row>
    <x:row r="37">
      <x:c r="A37" s="65"/>
      <x:c r="B37"/>
      <x:c r="C37"/>
      <x:c r="D37" s="29"/>
      <x:c r="E37" s="33"/>
      <x:c r="F37"/>
      <x:c r="G37"/>
      <x:c r="H37"/>
    </x:row>
    <x:row r="38">
      <x:c r="A38" s="65"/>
      <x:c r="B38"/>
      <x:c r="C38"/>
      <x:c r="D38" s="29"/>
      <x:c r="E38" s="33"/>
      <x:c r="F38"/>
      <x:c r="G38"/>
      <x:c r="H38"/>
    </x:row>
    <x:row r="39">
      <x:c r="A39" s="65"/>
      <x:c r="B39"/>
      <x:c r="C39"/>
      <x:c r="D39" s="29"/>
      <x:c r="E39" s="33"/>
      <x:c r="F39"/>
      <x:c r="G39"/>
      <x:c r="H39"/>
    </x:row>
    <x:row r="40">
      <x:c r="A40" s="65"/>
      <x:c r="B40"/>
      <x:c r="C40"/>
      <x:c r="D40" s="29"/>
      <x:c r="E40" s="33"/>
      <x:c r="F40"/>
      <x:c r="G40"/>
      <x:c r="H40"/>
    </x:row>
    <x:row r="41">
      <x:c r="A41" s="65"/>
      <x:c r="B41"/>
      <x:c r="C41"/>
      <x:c r="D41" s="29"/>
      <x:c r="E41" s="33"/>
      <x:c r="F41"/>
      <x:c r="G41"/>
      <x:c r="H41"/>
    </x:row>
    <x:row r="42">
      <x:c r="A42" s="65"/>
      <x:c r="B42"/>
      <x:c r="C42"/>
      <x:c r="D42" s="29"/>
      <x:c r="E42" s="33"/>
      <x:c r="F42"/>
      <x:c r="G42"/>
      <x:c r="H42"/>
    </x:row>
    <x:row r="43">
      <x:c r="A43" s="65"/>
      <x:c r="B43"/>
      <x:c r="C43"/>
      <x:c r="D43" s="29"/>
      <x:c r="E43" s="33"/>
      <x:c r="F43"/>
      <x:c r="G43"/>
      <x:c r="H43"/>
    </x:row>
    <x:row r="44">
      <x:c r="A44" s="65"/>
      <x:c r="B44"/>
      <x:c r="C44"/>
      <x:c r="D44" s="29"/>
      <x:c r="E44" s="33"/>
      <x:c r="F44"/>
      <x:c r="G44"/>
      <x:c r="H44"/>
    </x:row>
    <x:row r="45">
      <x:c r="A45" s="65"/>
      <x:c r="B45"/>
      <x:c r="C45"/>
      <x:c r="D45" s="29"/>
      <x:c r="E45" s="33"/>
      <x:c r="F45"/>
      <x:c r="G45"/>
      <x:c r="H45"/>
    </x:row>
    <x:row r="46">
      <x:c r="A46" s="65"/>
      <x:c r="B46"/>
      <x:c r="C46"/>
      <x:c r="D46" s="29"/>
      <x:c r="E46" s="33"/>
      <x:c r="F46"/>
      <x:c r="G46"/>
      <x:c r="H46"/>
    </x:row>
    <x:row r="47">
      <x:c r="A47" s="65"/>
      <x:c r="B47"/>
      <x:c r="C47"/>
      <x:c r="D47" s="29"/>
      <x:c r="E47" s="33"/>
      <x:c r="F47"/>
      <x:c r="G47"/>
      <x:c r="H47"/>
    </x:row>
    <x:row r="48">
      <x:c r="A48" s="65"/>
      <x:c r="B48"/>
      <x:c r="C48"/>
      <x:c r="D48" s="29"/>
      <x:c r="E48" s="33"/>
      <x:c r="F48"/>
      <x:c r="G48"/>
      <x:c r="H48"/>
    </x:row>
    <x:row r="49">
      <x:c r="A49" s="65"/>
      <x:c r="B49"/>
      <x:c r="C49"/>
      <x:c r="D49" s="29"/>
      <x:c r="E49" s="33"/>
      <x:c r="F49"/>
      <x:c r="G49"/>
      <x:c r="H49"/>
    </x:row>
    <x:row r="50">
      <x:c r="A50" s="65"/>
      <x:c r="B50"/>
      <x:c r="C50"/>
      <x:c r="D50" s="29"/>
      <x:c r="E50" s="33"/>
      <x:c r="F50"/>
      <x:c r="G50"/>
      <x:c r="H50"/>
    </x:row>
    <x:row r="51">
      <x:c r="A51" s="65"/>
      <x:c r="B51"/>
      <x:c r="C51"/>
      <x:c r="D51" s="29"/>
      <x:c r="E51" s="33"/>
      <x:c r="F51"/>
      <x:c r="G51"/>
      <x:c r="H51"/>
    </x:row>
    <x:row r="52">
      <x:c r="A52" s="65"/>
      <x:c r="B52"/>
      <x:c r="C52"/>
      <x:c r="D52" s="29"/>
      <x:c r="E52" s="33"/>
      <x:c r="F52"/>
      <x:c r="G52"/>
      <x:c r="H52"/>
    </x:row>
    <x:row r="53">
      <x:c r="A53" s="65"/>
      <x:c r="B53"/>
      <x:c r="C53"/>
      <x:c r="D53" s="29"/>
      <x:c r="E53" s="33"/>
      <x:c r="F53"/>
      <x:c r="G53"/>
      <x:c r="H53"/>
    </x:row>
    <x:row r="54">
      <x:c r="A54" s="65"/>
      <x:c r="B54"/>
      <x:c r="C54"/>
      <x:c r="D54" s="29"/>
      <x:c r="E54" s="33"/>
      <x:c r="F54"/>
      <x:c r="G54"/>
      <x:c r="H54"/>
    </x:row>
    <x:row r="55">
      <x:c r="A55" s="65"/>
      <x:c r="B55"/>
      <x:c r="C55"/>
      <x:c r="D55" s="29"/>
      <x:c r="E55" s="33"/>
      <x:c r="F55"/>
      <x:c r="G55"/>
      <x:c r="H55"/>
    </x:row>
    <x:row r="56">
      <x:c r="A56" s="65"/>
      <x:c r="B56"/>
      <x:c r="C56"/>
      <x:c r="D56" s="29"/>
      <x:c r="E56" s="33"/>
      <x:c r="F56"/>
      <x:c r="G56"/>
      <x:c r="H56"/>
    </x:row>
    <x:row r="57">
      <x:c r="A57" s="65"/>
      <x:c r="B57"/>
      <x:c r="C57"/>
      <x:c r="D57" s="29"/>
      <x:c r="E57" s="33"/>
      <x:c r="F57"/>
      <x:c r="G57"/>
      <x:c r="H57"/>
    </x:row>
    <x:row r="58">
      <x:c r="A58" s="65"/>
      <x:c r="B58"/>
      <x:c r="C58"/>
      <x:c r="D58" s="29"/>
      <x:c r="E58" s="33"/>
      <x:c r="F58"/>
      <x:c r="G58"/>
      <x:c r="H58"/>
    </x:row>
    <x:row r="59">
      <x:c r="A59" s="65"/>
      <x:c r="B59"/>
      <x:c r="C59"/>
      <x:c r="D59" s="29"/>
      <x:c r="E59" s="33"/>
      <x:c r="F59"/>
      <x:c r="G59"/>
      <x:c r="H59"/>
    </x:row>
    <x:row r="60">
      <x:c r="A60" s="65"/>
      <x:c r="B60"/>
      <x:c r="C60"/>
      <x:c r="D60" s="29"/>
      <x:c r="E60" s="33"/>
      <x:c r="F60"/>
      <x:c r="G60"/>
      <x:c r="H60"/>
    </x:row>
    <x:row r="61">
      <x:c r="A61" s="65"/>
      <x:c r="B61"/>
      <x:c r="C61"/>
      <x:c r="D61" s="29"/>
      <x:c r="E61" s="33"/>
      <x:c r="F61"/>
      <x:c r="G61"/>
      <x:c r="H61"/>
    </x:row>
    <x:row r="62">
      <x:c r="A62" s="65"/>
      <x:c r="B62"/>
      <x:c r="C62"/>
      <x:c r="D62" s="29"/>
      <x:c r="E62" s="33"/>
      <x:c r="F62"/>
      <x:c r="G62"/>
      <x:c r="H62"/>
    </x:row>
    <x:row r="63">
      <x:c r="A63" s="65"/>
      <x:c r="B63"/>
      <x:c r="C63"/>
      <x:c r="D63" s="29"/>
      <x:c r="E63" s="33"/>
      <x:c r="F63"/>
      <x:c r="G63"/>
      <x:c r="H63"/>
    </x:row>
    <x:row r="64">
      <x:c r="A64" s="65"/>
      <x:c r="B64"/>
      <x:c r="C64"/>
      <x:c r="D64" s="29"/>
      <x:c r="E64" s="33"/>
      <x:c r="F64"/>
      <x:c r="G64"/>
      <x:c r="H64"/>
    </x:row>
    <x:row r="65">
      <x:c r="A65" s="65"/>
      <x:c r="B65"/>
      <x:c r="C65"/>
      <x:c r="D65" s="29"/>
      <x:c r="E65" s="33"/>
      <x:c r="F65"/>
      <x:c r="G65"/>
      <x:c r="H65"/>
    </x:row>
    <x:row r="66">
      <x:c r="A66" s="65"/>
      <x:c r="B66"/>
      <x:c r="C66"/>
      <x:c r="D66" s="29"/>
      <x:c r="E66" s="33"/>
      <x:c r="F66"/>
      <x:c r="G66"/>
      <x:c r="H66"/>
    </x:row>
    <x:row r="67">
      <x:c r="A67" s="65"/>
      <x:c r="B67"/>
      <x:c r="C67"/>
      <x:c r="D67" s="29"/>
      <x:c r="E67" s="33"/>
      <x:c r="F67"/>
      <x:c r="G67"/>
      <x:c r="H67"/>
    </x:row>
    <x:row r="68">
      <x:c r="A68" s="65"/>
      <x:c r="B68"/>
      <x:c r="C68"/>
      <x:c r="D68" s="29"/>
      <x:c r="E68" s="33"/>
      <x:c r="F68"/>
      <x:c r="G68"/>
      <x:c r="H68"/>
    </x:row>
    <x:row r="69">
      <x:c r="A69" s="65"/>
      <x:c r="B69"/>
      <x:c r="C69"/>
      <x:c r="D69" s="29"/>
      <x:c r="E69" s="33"/>
      <x:c r="F69"/>
      <x:c r="G69"/>
      <x:c r="H69"/>
    </x:row>
    <x:row r="70">
      <x:c r="A70" s="65"/>
      <x:c r="B70"/>
      <x:c r="C70"/>
      <x:c r="D70" s="29"/>
      <x:c r="E70" s="33"/>
      <x:c r="F70"/>
      <x:c r="G70"/>
      <x:c r="H70"/>
    </x:row>
    <x:row r="71">
      <x:c r="A71" s="65"/>
      <x:c r="B71"/>
      <x:c r="C71"/>
      <x:c r="D71" s="29"/>
      <x:c r="E71" s="33"/>
      <x:c r="F71"/>
      <x:c r="G71"/>
      <x:c r="H71"/>
    </x:row>
    <x:row r="72">
      <x:c r="A72" s="65"/>
      <x:c r="B72"/>
      <x:c r="C72"/>
      <x:c r="D72" s="29"/>
      <x:c r="E72" s="33"/>
      <x:c r="F72"/>
      <x:c r="G72"/>
      <x:c r="H72"/>
    </x:row>
    <x:row r="73">
      <x:c r="A73" s="65"/>
      <x:c r="B73"/>
      <x:c r="C73"/>
      <x:c r="D73" s="29"/>
      <x:c r="E73" s="33"/>
      <x:c r="F73"/>
      <x:c r="G73"/>
      <x:c r="H73"/>
    </x:row>
    <x:row r="74">
      <x:c r="A74" s="65"/>
      <x:c r="B74"/>
      <x:c r="C74"/>
      <x:c r="D74" s="29"/>
      <x:c r="E74" s="33"/>
      <x:c r="F74"/>
      <x:c r="G74"/>
      <x:c r="H74"/>
    </x:row>
    <x:row r="75">
      <x:c r="A75" s="65"/>
      <x:c r="B75"/>
      <x:c r="C75"/>
      <x:c r="D75" s="29"/>
      <x:c r="E75" s="33"/>
      <x:c r="F75"/>
      <x:c r="G75"/>
      <x:c r="H75"/>
    </x:row>
    <x:row r="76">
      <x:c r="A76" s="65"/>
      <x:c r="B76"/>
      <x:c r="C76"/>
      <x:c r="D76" s="29"/>
      <x:c r="E76" s="33"/>
      <x:c r="F76"/>
      <x:c r="G76"/>
      <x:c r="H76"/>
    </x:row>
    <x:row r="77">
      <x:c r="A77" s="65"/>
      <x:c r="B77"/>
      <x:c r="C77"/>
      <x:c r="D77" s="29"/>
      <x:c r="E77" s="33"/>
      <x:c r="F77"/>
      <x:c r="G77"/>
      <x:c r="H77"/>
    </x:row>
    <x:row r="78">
      <x:c r="A78" s="65"/>
      <x:c r="B78"/>
      <x:c r="C78"/>
      <x:c r="D78" s="29"/>
      <x:c r="E78" s="33"/>
      <x:c r="F78"/>
      <x:c r="G78"/>
      <x:c r="H78"/>
    </x:row>
    <x:row r="79">
      <x:c r="A79" s="65"/>
      <x:c r="B79"/>
      <x:c r="C79"/>
      <x:c r="D79" s="29"/>
      <x:c r="E79" s="33"/>
      <x:c r="F79"/>
      <x:c r="G79"/>
      <x:c r="H79"/>
    </x:row>
    <x:row r="80">
      <x:c r="A80" s="65"/>
      <x:c r="B80"/>
      <x:c r="C80"/>
      <x:c r="D80" s="29"/>
      <x:c r="E80" s="33"/>
      <x:c r="F80"/>
      <x:c r="G80"/>
      <x:c r="H80"/>
    </x:row>
    <x:row r="81">
      <x:c r="A81" s="65"/>
      <x:c r="B81"/>
      <x:c r="C81"/>
      <x:c r="D81" s="29"/>
      <x:c r="E81" s="33"/>
      <x:c r="F81"/>
      <x:c r="G81"/>
      <x:c r="H81"/>
    </x:row>
    <x:row r="82">
      <x:c r="A82" s="65"/>
      <x:c r="B82"/>
      <x:c r="C82"/>
      <x:c r="D82" s="29"/>
      <x:c r="E82" s="33"/>
      <x:c r="F82"/>
      <x:c r="G82"/>
      <x:c r="H82"/>
    </x:row>
    <x:row r="83">
      <x:c r="A83" s="65"/>
      <x:c r="B83"/>
      <x:c r="C83"/>
      <x:c r="D83" s="29"/>
      <x:c r="E83" s="33"/>
      <x:c r="F83"/>
      <x:c r="G83"/>
      <x:c r="H83"/>
    </x:row>
    <x:row r="84">
      <x:c r="A84" s="65"/>
      <x:c r="B84"/>
      <x:c r="C84"/>
      <x:c r="D84" s="29"/>
      <x:c r="E84" s="33"/>
      <x:c r="F84"/>
      <x:c r="G84"/>
      <x:c r="H84"/>
    </x:row>
    <x:row r="85">
      <x:c r="A85" s="65"/>
      <x:c r="B85"/>
      <x:c r="C85"/>
      <x:c r="D85" s="29"/>
      <x:c r="E85" s="33"/>
      <x:c r="F85"/>
      <x:c r="G85"/>
      <x:c r="H85"/>
    </x:row>
    <x:row r="86">
      <x:c r="A86" s="65"/>
      <x:c r="B86"/>
      <x:c r="C86"/>
      <x:c r="D86" s="29"/>
      <x:c r="E86" s="33"/>
      <x:c r="F86"/>
      <x:c r="G86"/>
      <x:c r="H86"/>
    </x:row>
    <x:row r="87">
      <x:c r="A87" s="65"/>
      <x:c r="B87"/>
      <x:c r="C87"/>
      <x:c r="D87" s="29"/>
      <x:c r="E87" s="33"/>
      <x:c r="F87"/>
      <x:c r="G87"/>
      <x:c r="H87"/>
    </x:row>
    <x:row r="88">
      <x:c r="A88" s="65"/>
      <x:c r="B88"/>
      <x:c r="C88"/>
      <x:c r="D88" s="29"/>
      <x:c r="E88" s="33"/>
      <x:c r="F88"/>
      <x:c r="G88"/>
      <x:c r="H88"/>
    </x:row>
    <x:row r="89">
      <x:c r="A89" s="65"/>
      <x:c r="B89"/>
      <x:c r="C89"/>
      <x:c r="D89" s="29"/>
      <x:c r="E89" s="33"/>
      <x:c r="F89"/>
      <x:c r="G89"/>
      <x:c r="H89"/>
    </x:row>
    <x:row r="90">
      <x:c r="A90" s="65"/>
      <x:c r="B90"/>
      <x:c r="C90"/>
      <x:c r="D90" s="29"/>
      <x:c r="E90" s="33"/>
      <x:c r="F90"/>
      <x:c r="G90"/>
      <x:c r="H90"/>
    </x:row>
    <x:row r="91">
      <x:c r="A91" s="65"/>
      <x:c r="B91"/>
      <x:c r="C91"/>
      <x:c r="D91" s="29"/>
      <x:c r="E91" s="33"/>
      <x:c r="F91"/>
      <x:c r="G91"/>
      <x:c r="H91"/>
    </x:row>
    <x:row r="92">
      <x:c r="A92" s="65"/>
      <x:c r="B92"/>
      <x:c r="C92"/>
      <x:c r="D92" s="29"/>
      <x:c r="E92" s="33"/>
      <x:c r="F92"/>
      <x:c r="G92"/>
      <x:c r="H92"/>
    </x:row>
    <x:row r="93">
      <x:c r="A93" s="65"/>
      <x:c r="B93"/>
      <x:c r="C93"/>
      <x:c r="D93" s="29"/>
      <x:c r="E93" s="33"/>
      <x:c r="F93"/>
      <x:c r="G93"/>
      <x:c r="H93"/>
    </x:row>
    <x:row r="94">
      <x:c r="A94" s="65"/>
      <x:c r="B94"/>
      <x:c r="C94"/>
      <x:c r="D94" s="29"/>
      <x:c r="E94" s="33"/>
      <x:c r="F94"/>
      <x:c r="G94"/>
      <x:c r="H94"/>
    </x:row>
    <x:row r="95">
      <x:c r="A95" s="65"/>
      <x:c r="B95"/>
      <x:c r="C95"/>
      <x:c r="D95" s="29"/>
      <x:c r="E95" s="33"/>
      <x:c r="F95"/>
      <x:c r="G95"/>
      <x:c r="H95"/>
    </x:row>
    <x:row r="96">
      <x:c r="A96" s="65"/>
      <x:c r="B96"/>
      <x:c r="C96"/>
      <x:c r="D96" s="29"/>
      <x:c r="E96" s="33"/>
      <x:c r="F96"/>
      <x:c r="G96"/>
      <x:c r="H96"/>
    </x:row>
    <x:row r="97">
      <x:c r="A97" s="65"/>
      <x:c r="B97"/>
      <x:c r="C97"/>
      <x:c r="D97" s="29"/>
      <x:c r="E97" s="33"/>
      <x:c r="F97"/>
      <x:c r="G97"/>
      <x:c r="H97"/>
    </x:row>
    <x:row r="98">
      <x:c r="A98" s="65"/>
      <x:c r="B98"/>
      <x:c r="C98"/>
      <x:c r="D98" s="29"/>
      <x:c r="E98" s="33"/>
      <x:c r="F98"/>
      <x:c r="G98"/>
      <x:c r="H98"/>
    </x:row>
    <x:row r="99">
      <x:c r="A99" s="65"/>
      <x:c r="B99"/>
      <x:c r="C99"/>
      <x:c r="D99" s="29"/>
      <x:c r="E99" s="33"/>
      <x:c r="F99"/>
      <x:c r="G99"/>
      <x:c r="H99"/>
    </x:row>
    <x:row r="100">
      <x:c r="A100" s="65"/>
      <x:c r="B100"/>
      <x:c r="C100"/>
      <x:c r="D100" s="29"/>
      <x:c r="E100" s="33"/>
      <x:c r="F100"/>
      <x:c r="G100"/>
      <x:c r="H100"/>
    </x:row>
    <x:row r="101">
      <x:c r="A101" s="65"/>
      <x:c r="B101"/>
      <x:c r="C101"/>
      <x:c r="D101" s="29"/>
      <x:c r="E101" s="33"/>
      <x:c r="F101"/>
      <x:c r="G101"/>
      <x:c r="H101"/>
    </x:row>
    <x:row r="102">
      <x:c r="A102" s="65"/>
      <x:c r="B102"/>
      <x:c r="C102"/>
      <x:c r="D102" s="29"/>
      <x:c r="E102" s="33"/>
      <x:c r="F102"/>
      <x:c r="G102"/>
      <x:c r="H102"/>
    </x:row>
    <x:row r="103">
      <x:c r="A103" s="65"/>
      <x:c r="B103"/>
      <x:c r="C103"/>
      <x:c r="D103" s="29"/>
      <x:c r="E103" s="33"/>
      <x:c r="F103"/>
      <x:c r="G103"/>
      <x:c r="H103"/>
    </x:row>
    <x:row r="104">
      <x:c r="A104" s="65"/>
      <x:c r="B104"/>
      <x:c r="C104"/>
      <x:c r="D104" s="29"/>
      <x:c r="E104" s="33"/>
      <x:c r="F104"/>
      <x:c r="G104"/>
      <x:c r="H104"/>
    </x:row>
    <x:row r="105">
      <x:c r="A105" s="65"/>
      <x:c r="B105"/>
      <x:c r="C105"/>
      <x:c r="D105" s="29"/>
      <x:c r="E105" s="33"/>
      <x:c r="F105"/>
      <x:c r="G105"/>
      <x:c r="H105"/>
    </x:row>
    <x:row r="106">
      <x:c r="A106" s="65"/>
      <x:c r="B106"/>
      <x:c r="C106"/>
      <x:c r="D106" s="29"/>
      <x:c r="E106" s="33"/>
      <x:c r="F106"/>
      <x:c r="G106"/>
      <x:c r="H106"/>
    </x:row>
    <x:row r="107">
      <x:c r="A107" s="65"/>
      <x:c r="B107"/>
      <x:c r="C107"/>
      <x:c r="D107" s="29"/>
      <x:c r="E107" s="33"/>
      <x:c r="F107"/>
      <x:c r="G107"/>
      <x:c r="H107"/>
    </x:row>
    <x:row r="108">
      <x:c r="A108" s="65"/>
      <x:c r="B108"/>
      <x:c r="C108"/>
      <x:c r="D108" s="29"/>
      <x:c r="E108" s="33"/>
      <x:c r="F108"/>
      <x:c r="G108"/>
      <x:c r="H108"/>
    </x:row>
    <x:row r="109">
      <x:c r="A109" s="65"/>
      <x:c r="B109"/>
      <x:c r="C109"/>
      <x:c r="D109" s="29"/>
      <x:c r="E109" s="33"/>
      <x:c r="F109"/>
      <x:c r="G109"/>
      <x:c r="H109"/>
    </x:row>
    <x:row r="110">
      <x:c r="A110" s="65"/>
      <x:c r="B110"/>
      <x:c r="C110"/>
      <x:c r="D110" s="29"/>
      <x:c r="E110" s="33"/>
      <x:c r="F110"/>
      <x:c r="G110"/>
      <x:c r="H110"/>
    </x:row>
    <x:row r="111">
      <x:c r="A111" s="65"/>
      <x:c r="B111"/>
      <x:c r="C111"/>
      <x:c r="D111" s="29"/>
      <x:c r="E111" s="33"/>
      <x:c r="F111"/>
      <x:c r="G111"/>
      <x:c r="H111"/>
    </x:row>
    <x:row r="112">
      <x:c r="A112" s="65"/>
      <x:c r="B112"/>
      <x:c r="C112"/>
      <x:c r="D112" s="29"/>
      <x:c r="E112" s="33"/>
      <x:c r="F112"/>
      <x:c r="G112"/>
      <x:c r="H112"/>
    </x:row>
    <x:row r="113">
      <x:c r="A113" s="65"/>
      <x:c r="B113"/>
      <x:c r="C113"/>
      <x:c r="D113" s="29"/>
      <x:c r="E113" s="33"/>
      <x:c r="F113"/>
      <x:c r="G113"/>
      <x:c r="H113"/>
    </x:row>
    <x:row r="114">
      <x:c r="A114" s="65"/>
      <x:c r="B114"/>
      <x:c r="C114"/>
      <x:c r="D114" s="29"/>
      <x:c r="E114" s="33"/>
      <x:c r="F114"/>
      <x:c r="G114"/>
      <x:c r="H114"/>
    </x:row>
    <x:row r="115">
      <x:c r="A115" s="65"/>
      <x:c r="B115"/>
      <x:c r="C115"/>
      <x:c r="D115" s="29"/>
      <x:c r="E115" s="33"/>
      <x:c r="F115"/>
      <x:c r="G115"/>
      <x:c r="H115"/>
    </x:row>
    <x:row r="116">
      <x:c r="A116" s="65"/>
      <x:c r="B116"/>
      <x:c r="C116"/>
      <x:c r="D116" s="29"/>
      <x:c r="E116" s="33"/>
      <x:c r="F116"/>
      <x:c r="G116"/>
      <x:c r="H116"/>
    </x:row>
    <x:row r="117">
      <x:c r="A117" s="65"/>
      <x:c r="B117"/>
      <x:c r="C117"/>
      <x:c r="D117" s="29"/>
      <x:c r="E117" s="33"/>
      <x:c r="F117"/>
      <x:c r="G117"/>
      <x:c r="H117"/>
    </x:row>
    <x:row r="118">
      <x:c r="A118" s="65"/>
      <x:c r="B118"/>
      <x:c r="C118"/>
      <x:c r="D118" s="29"/>
      <x:c r="E118" s="33"/>
      <x:c r="F118"/>
      <x:c r="G118"/>
      <x:c r="H118"/>
    </x:row>
    <x:row r="119">
      <x:c r="A119" s="65"/>
      <x:c r="B119"/>
      <x:c r="C119"/>
      <x:c r="D119" s="29"/>
      <x:c r="E119" s="33"/>
      <x:c r="F119"/>
      <x:c r="G119"/>
      <x:c r="H119"/>
    </x:row>
    <x:row r="120">
      <x:c r="A120" s="65"/>
      <x:c r="B120"/>
      <x:c r="C120"/>
      <x:c r="D120" s="29"/>
      <x:c r="E120" s="33"/>
      <x:c r="F120"/>
      <x:c r="G120"/>
      <x:c r="H120"/>
    </x:row>
    <x:row r="121">
      <x:c r="A121" s="65"/>
      <x:c r="B121"/>
      <x:c r="C121"/>
      <x:c r="D121" s="29"/>
      <x:c r="E121" s="33"/>
      <x:c r="F121"/>
      <x:c r="G121"/>
      <x:c r="H121"/>
    </x:row>
    <x:row r="122">
      <x:c r="A122" s="65"/>
      <x:c r="B122"/>
      <x:c r="C122"/>
      <x:c r="D122" s="29"/>
      <x:c r="E122" s="33"/>
      <x:c r="F122"/>
      <x:c r="G122"/>
      <x:c r="H122"/>
    </x:row>
    <x:row r="123">
      <x:c r="A123" s="65"/>
      <x:c r="B123"/>
      <x:c r="C123"/>
      <x:c r="D123" s="29"/>
      <x:c r="E123" s="33"/>
      <x:c r="F123"/>
      <x:c r="G123"/>
      <x:c r="H123"/>
    </x:row>
    <x:row r="124">
      <x:c r="A124" s="65"/>
      <x:c r="B124"/>
      <x:c r="C124"/>
      <x:c r="D124" s="29"/>
      <x:c r="E124" s="33"/>
      <x:c r="F124"/>
      <x:c r="G124"/>
      <x:c r="H124"/>
    </x:row>
    <x:row r="125">
      <x:c r="A125" s="65"/>
      <x:c r="B125"/>
      <x:c r="C125"/>
      <x:c r="D125" s="29"/>
      <x:c r="E125" s="33"/>
      <x:c r="F125"/>
      <x:c r="G125"/>
      <x:c r="H125"/>
    </x:row>
    <x:row r="126">
      <x:c r="A126" s="65"/>
      <x:c r="B126"/>
      <x:c r="C126"/>
      <x:c r="D126" s="29"/>
      <x:c r="E126" s="33"/>
      <x:c r="F126"/>
      <x:c r="G126"/>
      <x:c r="H126"/>
    </x:row>
    <x:row r="127">
      <x:c r="A127" s="65"/>
      <x:c r="B127"/>
      <x:c r="C127"/>
      <x:c r="D127" s="29"/>
      <x:c r="E127" s="33"/>
      <x:c r="F127"/>
      <x:c r="G127"/>
      <x:c r="H127"/>
    </x:row>
    <x:row r="128">
      <x:c r="A128" s="65"/>
      <x:c r="B128"/>
      <x:c r="C128"/>
      <x:c r="D128" s="29"/>
      <x:c r="E128" s="33"/>
      <x:c r="F128"/>
      <x:c r="G128"/>
      <x:c r="H128"/>
    </x:row>
    <x:row r="129">
      <x:c r="A129" s="65"/>
      <x:c r="B129"/>
      <x:c r="C129"/>
      <x:c r="D129" s="29"/>
      <x:c r="E129" s="33"/>
      <x:c r="F129"/>
      <x:c r="G129"/>
      <x:c r="H129"/>
    </x:row>
    <x:row r="130">
      <x:c r="A130" s="65"/>
      <x:c r="B130"/>
      <x:c r="C130"/>
      <x:c r="D130" s="29"/>
      <x:c r="E130" s="33"/>
      <x:c r="F130"/>
      <x:c r="G130"/>
      <x:c r="H130"/>
    </x:row>
    <x:row r="131">
      <x:c r="A131" s="65"/>
      <x:c r="B131"/>
      <x:c r="C131"/>
      <x:c r="D131" s="29"/>
      <x:c r="E131" s="33"/>
      <x:c r="F131"/>
      <x:c r="G131"/>
      <x:c r="H131"/>
    </x:row>
    <x:row r="132">
      <x:c r="A132" s="65"/>
      <x:c r="B132"/>
      <x:c r="C132"/>
      <x:c r="D132" s="29"/>
      <x:c r="E132" s="33"/>
      <x:c r="F132"/>
      <x:c r="G132"/>
      <x:c r="H132"/>
    </x:row>
    <x:row r="133">
      <x:c r="A133" s="65"/>
      <x:c r="B133"/>
      <x:c r="C133"/>
      <x:c r="D133" s="29"/>
      <x:c r="E133" s="33"/>
      <x:c r="F133"/>
      <x:c r="G133"/>
      <x:c r="H133"/>
    </x:row>
    <x:row r="134">
      <x:c r="A134" s="65"/>
      <x:c r="B134"/>
      <x:c r="C134"/>
      <x:c r="D134" s="29"/>
      <x:c r="E134" s="33"/>
      <x:c r="F134"/>
      <x:c r="G134"/>
      <x:c r="H134"/>
    </x:row>
    <x:row r="135">
      <x:c r="A135" s="65"/>
      <x:c r="B135"/>
      <x:c r="C135"/>
      <x:c r="D135" s="29"/>
      <x:c r="E135" s="33"/>
      <x:c r="F135"/>
      <x:c r="G135"/>
      <x:c r="H135"/>
    </x:row>
    <x:row r="136">
      <x:c r="A136" s="65"/>
      <x:c r="B136"/>
      <x:c r="C136"/>
      <x:c r="D136" s="29"/>
      <x:c r="E136" s="33"/>
      <x:c r="F136"/>
      <x:c r="G136"/>
      <x:c r="H136"/>
    </x:row>
    <x:row r="137">
      <x:c r="A137" s="65"/>
      <x:c r="B137"/>
      <x:c r="C137"/>
      <x:c r="D137" s="29"/>
      <x:c r="E137" s="33"/>
      <x:c r="F137"/>
      <x:c r="G137"/>
      <x:c r="H137"/>
    </x:row>
    <x:row r="138">
      <x:c r="A138" s="65"/>
      <x:c r="B138"/>
      <x:c r="C138"/>
      <x:c r="D138" s="29"/>
      <x:c r="E138" s="33"/>
      <x:c r="F138"/>
      <x:c r="G138"/>
      <x:c r="H138"/>
    </x:row>
    <x:row r="139">
      <x:c r="A139" s="65"/>
      <x:c r="B139"/>
      <x:c r="C139"/>
      <x:c r="D139" s="29"/>
      <x:c r="E139" s="33"/>
      <x:c r="F139"/>
      <x:c r="G139"/>
      <x:c r="H139"/>
    </x:row>
    <x:row r="140">
      <x:c r="A140" s="65"/>
      <x:c r="B140"/>
      <x:c r="C140"/>
      <x:c r="D140" s="29"/>
      <x:c r="E140" s="33"/>
      <x:c r="F140"/>
      <x:c r="G140"/>
      <x:c r="H140"/>
    </x:row>
    <x:row r="141">
      <x:c r="A141" s="65"/>
      <x:c r="B141"/>
      <x:c r="C141"/>
      <x:c r="D141" s="29"/>
      <x:c r="E141" s="33"/>
      <x:c r="F141"/>
      <x:c r="G141"/>
      <x:c r="H141"/>
    </x:row>
    <x:row r="142">
      <x:c r="A142" s="65"/>
      <x:c r="B142"/>
      <x:c r="C142"/>
      <x:c r="D142" s="29"/>
      <x:c r="E142" s="33"/>
      <x:c r="F142"/>
      <x:c r="G142"/>
      <x:c r="H142"/>
    </x:row>
    <x:row r="143">
      <x:c r="A143" s="65"/>
      <x:c r="B143"/>
      <x:c r="C143"/>
      <x:c r="D143" s="29"/>
      <x:c r="E143" s="33"/>
      <x:c r="F143"/>
      <x:c r="G143"/>
      <x:c r="H143"/>
    </x:row>
    <x:row r="144">
      <x:c r="A144" s="65"/>
      <x:c r="B144"/>
      <x:c r="C144"/>
      <x:c r="D144" s="29"/>
      <x:c r="E144" s="33"/>
      <x:c r="F144"/>
      <x:c r="G144"/>
      <x:c r="H144"/>
    </x:row>
    <x:row r="145">
      <x:c r="A145" s="65"/>
      <x:c r="B145"/>
      <x:c r="C145"/>
      <x:c r="D145" s="29"/>
      <x:c r="E145" s="33"/>
      <x:c r="F145"/>
      <x:c r="G145"/>
      <x:c r="H145"/>
    </x:row>
    <x:row r="146">
      <x:c r="A146" s="65"/>
      <x:c r="B146"/>
      <x:c r="C146"/>
      <x:c r="D146" s="29"/>
      <x:c r="E146" s="33"/>
      <x:c r="F146"/>
      <x:c r="G146"/>
      <x:c r="H146"/>
    </x:row>
    <x:row r="147">
      <x:c r="A147" s="65"/>
      <x:c r="B147"/>
      <x:c r="C147"/>
      <x:c r="D147" s="29"/>
      <x:c r="E147" s="33"/>
      <x:c r="F147"/>
      <x:c r="G147"/>
      <x:c r="H147"/>
    </x:row>
    <x:row r="148">
      <x:c r="A148" s="65"/>
      <x:c r="B148"/>
      <x:c r="C148"/>
      <x:c r="D148" s="29"/>
      <x:c r="E148" s="33"/>
      <x:c r="F148"/>
      <x:c r="G148"/>
      <x:c r="H148"/>
    </x:row>
    <x:row r="149">
      <x:c r="A149" s="65"/>
      <x:c r="B149"/>
      <x:c r="C149"/>
      <x:c r="D149" s="29"/>
      <x:c r="E149" s="33"/>
      <x:c r="F149"/>
      <x:c r="G149"/>
      <x:c r="H149"/>
    </x:row>
    <x:row r="150">
      <x:c r="A150" s="65"/>
      <x:c r="B150"/>
      <x:c r="C150"/>
      <x:c r="D150" s="29"/>
      <x:c r="E150" s="33"/>
      <x:c r="F150"/>
      <x:c r="G150"/>
      <x:c r="H150"/>
    </x:row>
    <x:row r="151">
      <x:c r="A151" s="65"/>
      <x:c r="B151"/>
      <x:c r="C151"/>
      <x:c r="D151" s="29"/>
      <x:c r="E151" s="33"/>
      <x:c r="F151"/>
      <x:c r="G151"/>
      <x:c r="H151"/>
    </x:row>
    <x:row r="152">
      <x:c r="A152" s="65"/>
      <x:c r="B152"/>
      <x:c r="C152"/>
      <x:c r="D152" s="29"/>
      <x:c r="E152" s="33"/>
      <x:c r="F152"/>
      <x:c r="G152"/>
      <x:c r="H152"/>
    </x:row>
    <x:row r="153">
      <x:c r="A153" s="65"/>
      <x:c r="B153"/>
      <x:c r="C153"/>
      <x:c r="D153" s="29"/>
      <x:c r="E153" s="33"/>
      <x:c r="F153"/>
      <x:c r="G153"/>
      <x:c r="H153"/>
    </x:row>
    <x:row r="154">
      <x:c r="A154" s="65"/>
      <x:c r="B154"/>
      <x:c r="C154"/>
      <x:c r="D154" s="29"/>
      <x:c r="E154" s="33"/>
      <x:c r="F154"/>
      <x:c r="G154"/>
      <x:c r="H154"/>
    </x:row>
    <x:row r="155">
      <x:c r="A155" s="65"/>
      <x:c r="B155"/>
      <x:c r="C155"/>
      <x:c r="D155" s="29"/>
      <x:c r="E155" s="33"/>
      <x:c r="F155"/>
      <x:c r="G155"/>
      <x:c r="H155"/>
    </x:row>
    <x:row r="156">
      <x:c r="A156" s="65"/>
      <x:c r="B156"/>
      <x:c r="C156"/>
      <x:c r="D156" s="29"/>
      <x:c r="E156" s="33"/>
      <x:c r="F156"/>
      <x:c r="G156"/>
      <x:c r="H156"/>
    </x:row>
    <x:row r="157">
      <x:c r="A157" s="65"/>
      <x:c r="B157"/>
      <x:c r="C157"/>
      <x:c r="D157" s="29"/>
      <x:c r="E157" s="33"/>
      <x:c r="F157"/>
      <x:c r="G157"/>
      <x:c r="H157"/>
    </x:row>
    <x:row r="158">
      <x:c r="A158" s="65"/>
      <x:c r="B158"/>
      <x:c r="C158"/>
      <x:c r="D158" s="29"/>
      <x:c r="E158" s="33"/>
      <x:c r="F158"/>
      <x:c r="G158"/>
      <x:c r="H158"/>
    </x:row>
    <x:row r="159">
      <x:c r="A159" s="65"/>
      <x:c r="B159"/>
      <x:c r="C159"/>
      <x:c r="D159" s="29"/>
      <x:c r="E159" s="33"/>
      <x:c r="F159"/>
      <x:c r="G159"/>
      <x:c r="H159"/>
    </x:row>
    <x:row r="160">
      <x:c r="A160" s="65"/>
      <x:c r="B160"/>
      <x:c r="C160"/>
      <x:c r="D160" s="29"/>
      <x:c r="E160" s="33"/>
      <x:c r="F160"/>
      <x:c r="G160"/>
      <x:c r="H160"/>
    </x:row>
    <x:row r="161">
      <x:c r="A161" s="65"/>
      <x:c r="B161"/>
      <x:c r="C161"/>
      <x:c r="D161" s="29"/>
      <x:c r="E161" s="33"/>
      <x:c r="F161"/>
      <x:c r="G161"/>
      <x:c r="H161"/>
    </x:row>
    <x:row r="162">
      <x:c r="A162" s="65"/>
      <x:c r="B162"/>
      <x:c r="C162"/>
      <x:c r="D162" s="29"/>
      <x:c r="E162" s="33"/>
      <x:c r="F162"/>
      <x:c r="G162"/>
      <x:c r="H162"/>
    </x:row>
    <x:row r="163">
      <x:c r="A163" s="65"/>
      <x:c r="B163"/>
      <x:c r="C163"/>
      <x:c r="D163" s="29"/>
      <x:c r="E163" s="33"/>
      <x:c r="F163"/>
      <x:c r="G163"/>
      <x:c r="H163"/>
    </x:row>
    <x:row r="164">
      <x:c r="A164" s="65"/>
      <x:c r="B164"/>
      <x:c r="C164"/>
      <x:c r="D164" s="29"/>
      <x:c r="E164" s="33"/>
      <x:c r="F164"/>
      <x:c r="G164"/>
      <x:c r="H164"/>
    </x:row>
    <x:row r="165">
      <x:c r="A165" s="65"/>
      <x:c r="B165"/>
      <x:c r="C165"/>
      <x:c r="D165" s="29"/>
      <x:c r="E165" s="33"/>
      <x:c r="F165"/>
      <x:c r="G165"/>
      <x:c r="H165"/>
    </x:row>
    <x:row r="166">
      <x:c r="A166" s="65"/>
      <x:c r="B166"/>
      <x:c r="C166"/>
      <x:c r="D166" s="29"/>
      <x:c r="E166" s="33"/>
      <x:c r="F166"/>
      <x:c r="G166"/>
      <x:c r="H166"/>
    </x:row>
    <x:row r="167">
      <x:c r="A167" s="65"/>
      <x:c r="B167"/>
      <x:c r="C167"/>
      <x:c r="D167" s="29"/>
      <x:c r="E167" s="33"/>
      <x:c r="F167"/>
      <x:c r="G167"/>
      <x:c r="H167"/>
    </x:row>
    <x:row r="168">
      <x:c r="A168" s="65"/>
      <x:c r="B168"/>
      <x:c r="C168"/>
      <x:c r="D168" s="29"/>
      <x:c r="E168" s="33"/>
      <x:c r="F168"/>
      <x:c r="G168"/>
      <x:c r="H168"/>
    </x:row>
    <x:row r="169">
      <x:c r="A169" s="65"/>
      <x:c r="B169"/>
      <x:c r="C169"/>
      <x:c r="D169" s="29"/>
      <x:c r="E169" s="33"/>
      <x:c r="F169"/>
      <x:c r="G169"/>
      <x:c r="H169"/>
    </x:row>
    <x:row r="170">
      <x:c r="A170" s="65"/>
      <x:c r="B170"/>
      <x:c r="C170"/>
      <x:c r="D170" s="29"/>
      <x:c r="E170" s="33"/>
      <x:c r="F170"/>
      <x:c r="G170"/>
      <x:c r="H170"/>
    </x:row>
    <x:row r="171">
      <x:c r="A171" s="65"/>
      <x:c r="B171"/>
      <x:c r="C171"/>
      <x:c r="D171" s="29"/>
      <x:c r="E171" s="33"/>
      <x:c r="F171"/>
      <x:c r="G171"/>
      <x:c r="H171"/>
    </x:row>
    <x:row r="172">
      <x:c r="A172" s="65"/>
      <x:c r="B172"/>
      <x:c r="C172"/>
      <x:c r="D172" s="29"/>
      <x:c r="E172" s="33"/>
      <x:c r="F172"/>
      <x:c r="G172"/>
      <x:c r="H172"/>
    </x:row>
    <x:row r="173">
      <x:c r="A173" s="65"/>
      <x:c r="B173"/>
      <x:c r="C173"/>
      <x:c r="D173" s="29"/>
      <x:c r="E173" s="33"/>
      <x:c r="F173"/>
      <x:c r="G173"/>
      <x:c r="H173"/>
    </x:row>
    <x:row r="174">
      <x:c r="A174" s="65"/>
      <x:c r="B174"/>
      <x:c r="C174"/>
      <x:c r="D174" s="29"/>
      <x:c r="E174" s="33"/>
      <x:c r="F174"/>
      <x:c r="G174"/>
      <x:c r="H174"/>
    </x:row>
    <x:row r="175">
      <x:c r="A175" s="65"/>
      <x:c r="B175"/>
      <x:c r="C175"/>
      <x:c r="D175" s="29"/>
      <x:c r="E175" s="33"/>
      <x:c r="F175"/>
      <x:c r="G175"/>
      <x:c r="H175"/>
    </x:row>
    <x:row r="176">
      <x:c r="A176" s="65"/>
      <x:c r="B176"/>
      <x:c r="C176"/>
      <x:c r="D176" s="29"/>
      <x:c r="E176" s="33"/>
      <x:c r="F176"/>
      <x:c r="G176"/>
      <x:c r="H176"/>
    </x:row>
    <x:row r="177">
      <x:c r="A177" s="65"/>
      <x:c r="B177"/>
      <x:c r="C177"/>
      <x:c r="D177" s="29"/>
      <x:c r="E177" s="33"/>
      <x:c r="F177"/>
      <x:c r="G177"/>
      <x:c r="H177"/>
    </x:row>
    <x:row r="178">
      <x:c r="A178" s="65"/>
      <x:c r="B178"/>
      <x:c r="C178"/>
      <x:c r="D178" s="29"/>
      <x:c r="E178" s="33"/>
      <x:c r="F178"/>
      <x:c r="G178"/>
      <x:c r="H178"/>
    </x:row>
    <x:row r="179">
      <x:c r="A179" s="65"/>
      <x:c r="B179"/>
      <x:c r="C179"/>
      <x:c r="D179" s="29"/>
      <x:c r="E179" s="33"/>
      <x:c r="F179"/>
      <x:c r="G179"/>
      <x:c r="H179"/>
    </x:row>
    <x:row r="180">
      <x:c r="A180" s="65"/>
      <x:c r="B180"/>
      <x:c r="C180"/>
      <x:c r="D180" s="29"/>
      <x:c r="E180" s="33"/>
      <x:c r="F180"/>
      <x:c r="G180"/>
      <x:c r="H180"/>
    </x:row>
    <x:row r="181">
      <x:c r="A181" s="65"/>
      <x:c r="B181"/>
      <x:c r="C181"/>
      <x:c r="D181" s="29"/>
      <x:c r="E181" s="33"/>
      <x:c r="F181"/>
      <x:c r="G181"/>
      <x:c r="H181"/>
    </x:row>
    <x:row r="182">
      <x:c r="A182" s="65"/>
      <x:c r="B182"/>
      <x:c r="C182"/>
      <x:c r="D182" s="29"/>
      <x:c r="E182" s="33"/>
      <x:c r="F182"/>
      <x:c r="G182"/>
      <x:c r="H182"/>
    </x:row>
    <x:row r="183">
      <x:c r="A183" s="65"/>
      <x:c r="B183"/>
      <x:c r="C183"/>
      <x:c r="D183" s="29"/>
      <x:c r="E183" s="33"/>
      <x:c r="F183"/>
      <x:c r="G183"/>
      <x:c r="H183"/>
    </x:row>
    <x:row r="184">
      <x:c r="A184" s="65"/>
      <x:c r="B184"/>
      <x:c r="C184"/>
      <x:c r="D184" s="29"/>
      <x:c r="E184" s="33"/>
      <x:c r="F184"/>
      <x:c r="G184"/>
      <x:c r="H184"/>
    </x:row>
    <x:row r="185">
      <x:c r="A185" s="65"/>
      <x:c r="B185"/>
      <x:c r="C185"/>
      <x:c r="D185" s="29"/>
      <x:c r="E185" s="33"/>
      <x:c r="F185"/>
      <x:c r="G185"/>
      <x:c r="H185"/>
    </x:row>
    <x:row r="186">
      <x:c r="A186" s="65"/>
      <x:c r="B186"/>
      <x:c r="C186"/>
      <x:c r="D186" s="29"/>
      <x:c r="E186" s="33"/>
      <x:c r="F186"/>
      <x:c r="G186"/>
      <x:c r="H186"/>
    </x:row>
    <x:row r="187">
      <x:c r="A187" s="65"/>
      <x:c r="B187"/>
      <x:c r="C187"/>
      <x:c r="D187" s="29"/>
      <x:c r="E187" s="33"/>
      <x:c r="F187"/>
      <x:c r="G187"/>
      <x:c r="H187"/>
    </x:row>
    <x:row r="188">
      <x:c r="A188" s="65"/>
      <x:c r="B188"/>
      <x:c r="C188"/>
      <x:c r="D188" s="29"/>
      <x:c r="E188" s="33"/>
      <x:c r="F188"/>
      <x:c r="G188"/>
      <x:c r="H188"/>
    </x:row>
    <x:row r="189">
      <x:c r="A189" s="65"/>
      <x:c r="B189"/>
      <x:c r="C189"/>
      <x:c r="D189" s="29"/>
      <x:c r="E189" s="33"/>
      <x:c r="F189"/>
      <x:c r="G189"/>
      <x:c r="H189"/>
    </x:row>
    <x:row r="190">
      <x:c r="A190" s="65"/>
      <x:c r="B190"/>
      <x:c r="C190"/>
      <x:c r="D190" s="29"/>
      <x:c r="E190" s="33"/>
      <x:c r="F190"/>
      <x:c r="G190"/>
      <x:c r="H190"/>
    </x:row>
    <x:row r="191">
      <x:c r="A191" s="65"/>
      <x:c r="B191"/>
      <x:c r="C191"/>
      <x:c r="D191" s="29"/>
      <x:c r="E191" s="33"/>
      <x:c r="F191"/>
      <x:c r="G191"/>
      <x:c r="H191"/>
    </x:row>
    <x:row r="192">
      <x:c r="A192" s="65"/>
      <x:c r="B192"/>
      <x:c r="C192"/>
      <x:c r="D192" s="29"/>
      <x:c r="E192" s="33"/>
      <x:c r="F192"/>
      <x:c r="G192"/>
      <x:c r="H192"/>
    </x:row>
    <x:row r="193">
      <x:c r="A193" s="65"/>
      <x:c r="B193"/>
      <x:c r="C193"/>
      <x:c r="D193" s="29"/>
      <x:c r="E193" s="33"/>
      <x:c r="F193"/>
      <x:c r="G193"/>
      <x:c r="H193"/>
    </x:row>
    <x:row r="194">
      <x:c r="A194" s="65"/>
      <x:c r="B194"/>
      <x:c r="C194"/>
      <x:c r="D194" s="29"/>
      <x:c r="E194" s="33"/>
      <x:c r="F194"/>
      <x:c r="G194"/>
      <x:c r="H194"/>
    </x:row>
    <x:row r="195">
      <x:c r="A195" s="65"/>
      <x:c r="B195"/>
      <x:c r="C195"/>
      <x:c r="D195" s="29"/>
      <x:c r="E195" s="33"/>
      <x:c r="F195"/>
      <x:c r="G195"/>
      <x:c r="H195"/>
    </x:row>
    <x:row r="196">
      <x:c r="A196" s="65"/>
      <x:c r="B196"/>
      <x:c r="C196"/>
      <x:c r="D196" s="29"/>
      <x:c r="E196" s="33"/>
      <x:c r="F196"/>
      <x:c r="G196"/>
      <x:c r="H196"/>
    </x:row>
    <x:row r="197">
      <x:c r="A197" s="65"/>
      <x:c r="B197"/>
      <x:c r="C197"/>
      <x:c r="D197" s="29"/>
      <x:c r="E197" s="33"/>
      <x:c r="F197"/>
      <x:c r="G197"/>
      <x:c r="H197"/>
    </x:row>
    <x:row r="198">
      <x:c r="A198" s="65"/>
      <x:c r="B198"/>
      <x:c r="C198"/>
      <x:c r="D198" s="29"/>
      <x:c r="E198" s="33"/>
      <x:c r="F198"/>
      <x:c r="G198"/>
      <x:c r="H198"/>
    </x:row>
    <x:row r="199">
      <x:c r="A199" s="65"/>
      <x:c r="B199"/>
      <x:c r="C199"/>
      <x:c r="D199" s="29"/>
      <x:c r="E199" s="33"/>
      <x:c r="F199"/>
      <x:c r="G199"/>
      <x:c r="H199"/>
    </x:row>
    <x:row r="200">
      <x:c r="A200" s="65"/>
      <x:c r="B200"/>
      <x:c r="C200"/>
      <x:c r="D200" s="29"/>
      <x:c r="E200" s="33"/>
      <x:c r="F200"/>
      <x:c r="G200"/>
      <x:c r="H200"/>
    </x:row>
    <x:row r="201">
      <x:c r="A201" s="65"/>
      <x:c r="B201"/>
      <x:c r="C201"/>
      <x:c r="D201" s="29"/>
      <x:c r="E201" s="33"/>
      <x:c r="F201"/>
      <x:c r="G201"/>
      <x:c r="H201"/>
    </x:row>
    <x:row r="202">
      <x:c r="A202" s="65"/>
      <x:c r="B202"/>
      <x:c r="C202"/>
      <x:c r="D202" s="29"/>
      <x:c r="E202" s="33"/>
      <x:c r="F202"/>
      <x:c r="G202"/>
      <x:c r="H202"/>
    </x:row>
    <x:row r="203">
      <x:c r="A203" s="65"/>
      <x:c r="B203"/>
      <x:c r="C203"/>
      <x:c r="D203" s="29"/>
      <x:c r="E203" s="33"/>
      <x:c r="F203"/>
      <x:c r="G203"/>
      <x:c r="H203"/>
    </x:row>
    <x:row r="204">
      <x:c r="A204" s="65"/>
      <x:c r="B204"/>
      <x:c r="C204"/>
      <x:c r="D204" s="29"/>
      <x:c r="E204" s="33"/>
      <x:c r="F204"/>
      <x:c r="G204"/>
      <x:c r="H204"/>
    </x:row>
    <x:row r="205">
      <x:c r="A205" s="65"/>
      <x:c r="B205"/>
      <x:c r="C205"/>
      <x:c r="D205" s="29"/>
      <x:c r="E205" s="33"/>
      <x:c r="F205"/>
      <x:c r="G205"/>
      <x:c r="H205"/>
    </x:row>
    <x:row r="206">
      <x:c r="A206" s="65"/>
      <x:c r="B206"/>
      <x:c r="C206"/>
      <x:c r="D206" s="29"/>
      <x:c r="E206" s="33"/>
      <x:c r="F206"/>
      <x:c r="G206"/>
      <x:c r="H206"/>
    </x:row>
    <x:row r="207">
      <x:c r="A207" s="65"/>
      <x:c r="B207"/>
      <x:c r="C207"/>
      <x:c r="D207" s="29"/>
      <x:c r="E207" s="33"/>
      <x:c r="F207"/>
      <x:c r="G207"/>
      <x:c r="H207"/>
    </x:row>
    <x:row r="208">
      <x:c r="A208" s="65"/>
      <x:c r="B208"/>
      <x:c r="C208"/>
      <x:c r="D208" s="29"/>
      <x:c r="E208" s="33"/>
      <x:c r="F208"/>
      <x:c r="G208"/>
      <x:c r="H208"/>
    </x:row>
    <x:row r="209">
      <x:c r="A209" s="65"/>
      <x:c r="B209"/>
      <x:c r="C209"/>
      <x:c r="D209" s="29"/>
      <x:c r="E209" s="33"/>
      <x:c r="F209"/>
      <x:c r="G209"/>
      <x:c r="H209"/>
    </x:row>
    <x:row r="210">
      <x:c r="A210" s="65"/>
      <x:c r="B210"/>
      <x:c r="C210"/>
      <x:c r="D210" s="29"/>
      <x:c r="E210" s="33"/>
      <x:c r="F210"/>
      <x:c r="G210"/>
      <x:c r="H210"/>
    </x:row>
    <x:row r="211">
      <x:c r="A211" s="65"/>
      <x:c r="B211"/>
      <x:c r="C211"/>
      <x:c r="D211" s="29"/>
      <x:c r="E211" s="33"/>
      <x:c r="F211"/>
      <x:c r="G211"/>
      <x:c r="H211"/>
    </x:row>
    <x:row r="212">
      <x:c r="A212" s="65"/>
      <x:c r="B212"/>
      <x:c r="C212"/>
      <x:c r="D212" s="29"/>
      <x:c r="E212" s="33"/>
      <x:c r="F212"/>
      <x:c r="G212"/>
      <x:c r="H212"/>
    </x:row>
    <x:row r="213">
      <x:c r="A213" s="65"/>
      <x:c r="B213"/>
      <x:c r="C213"/>
      <x:c r="D213" s="29"/>
      <x:c r="E213" s="33"/>
      <x:c r="F213"/>
      <x:c r="G213"/>
      <x:c r="H213"/>
    </x:row>
    <x:row r="214">
      <x:c r="A214" s="65"/>
      <x:c r="B214"/>
      <x:c r="C214"/>
      <x:c r="D214" s="29"/>
      <x:c r="E214" s="33"/>
      <x:c r="F214"/>
      <x:c r="G214"/>
      <x:c r="H214"/>
    </x:row>
    <x:row r="215">
      <x:c r="A215" s="65"/>
      <x:c r="B215"/>
      <x:c r="C215"/>
      <x:c r="D215" s="29"/>
      <x:c r="E215" s="33"/>
      <x:c r="F215"/>
      <x:c r="G215"/>
      <x:c r="H215"/>
    </x:row>
    <x:row r="216">
      <x:c r="A216" s="65"/>
      <x:c r="B216"/>
      <x:c r="C216"/>
      <x:c r="D216" s="29"/>
      <x:c r="E216" s="33"/>
      <x:c r="F216"/>
      <x:c r="G216"/>
      <x:c r="H216"/>
    </x:row>
    <x:row r="217">
      <x:c r="A217" s="65"/>
      <x:c r="B217"/>
      <x:c r="C217"/>
      <x:c r="D217" s="29"/>
      <x:c r="E217" s="33"/>
      <x:c r="F217"/>
      <x:c r="G217"/>
      <x:c r="H217"/>
    </x:row>
    <x:row r="218">
      <x:c r="A218" s="65"/>
      <x:c r="B218"/>
      <x:c r="C218"/>
      <x:c r="D218" s="29"/>
      <x:c r="E218" s="33"/>
      <x:c r="F218"/>
      <x:c r="G218"/>
      <x:c r="H218"/>
    </x:row>
    <x:row r="219">
      <x:c r="A219" s="65"/>
      <x:c r="B219"/>
      <x:c r="C219"/>
      <x:c r="D219" s="29"/>
      <x:c r="E219" s="33"/>
      <x:c r="F219"/>
      <x:c r="G219"/>
      <x:c r="H219"/>
    </x:row>
    <x:row r="220">
      <x:c r="A220" s="65"/>
      <x:c r="B220"/>
      <x:c r="C220"/>
      <x:c r="D220" s="29"/>
      <x:c r="E220" s="33"/>
      <x:c r="F220"/>
      <x:c r="G220"/>
      <x:c r="H220"/>
    </x:row>
    <x:row r="221">
      <x:c r="A221" s="65"/>
      <x:c r="B221"/>
      <x:c r="C221"/>
      <x:c r="D221" s="29"/>
      <x:c r="E221" s="33"/>
      <x:c r="F221"/>
      <x:c r="G221"/>
      <x:c r="H221"/>
    </x:row>
    <x:row r="222">
      <x:c r="A222" s="65"/>
      <x:c r="B222"/>
      <x:c r="C222"/>
      <x:c r="D222" s="29"/>
      <x:c r="E222" s="33"/>
      <x:c r="F222"/>
      <x:c r="G222"/>
      <x:c r="H222"/>
    </x:row>
    <x:row r="223">
      <x:c r="A223" s="65"/>
      <x:c r="B223"/>
      <x:c r="C223"/>
      <x:c r="D223" s="29"/>
      <x:c r="E223" s="33"/>
      <x:c r="F223"/>
      <x:c r="G223"/>
      <x:c r="H223"/>
    </x:row>
    <x:row r="224">
      <x:c r="A224" s="65"/>
      <x:c r="B224"/>
      <x:c r="C224"/>
      <x:c r="D224" s="29"/>
      <x:c r="E224" s="33"/>
      <x:c r="F224"/>
      <x:c r="G224"/>
      <x:c r="H224"/>
    </x:row>
    <x:row r="225">
      <x:c r="A225" s="65"/>
      <x:c r="B225"/>
      <x:c r="C225"/>
      <x:c r="D225" s="29"/>
      <x:c r="E225" s="33"/>
      <x:c r="F225"/>
      <x:c r="G225"/>
      <x:c r="H225"/>
    </x:row>
    <x:row r="226">
      <x:c r="A226" s="65"/>
      <x:c r="B226"/>
      <x:c r="C226"/>
      <x:c r="D226" s="29"/>
      <x:c r="E226" s="33"/>
      <x:c r="F226"/>
      <x:c r="G226"/>
      <x:c r="H226"/>
    </x:row>
    <x:row r="227">
      <x:c r="A227" s="65"/>
      <x:c r="B227"/>
      <x:c r="C227"/>
      <x:c r="D227" s="29"/>
      <x:c r="E227" s="33"/>
      <x:c r="F227"/>
      <x:c r="G227"/>
      <x:c r="H227"/>
    </x:row>
    <x:row r="228">
      <x:c r="A228" s="65"/>
      <x:c r="B228"/>
      <x:c r="C228"/>
      <x:c r="D228" s="29"/>
      <x:c r="E228" s="33"/>
      <x:c r="F228"/>
      <x:c r="G228"/>
      <x:c r="H228"/>
    </x:row>
    <x:row r="229">
      <x:c r="A229" s="65"/>
      <x:c r="B229"/>
      <x:c r="C229"/>
      <x:c r="D229" s="29"/>
      <x:c r="E229" s="33"/>
      <x:c r="F229"/>
      <x:c r="G229"/>
      <x:c r="H229"/>
    </x:row>
    <x:row r="230">
      <x:c r="A230" s="65"/>
      <x:c r="B230"/>
      <x:c r="C230"/>
      <x:c r="D230" s="29"/>
      <x:c r="E230" s="33"/>
      <x:c r="F230"/>
      <x:c r="G230"/>
      <x:c r="H230"/>
    </x:row>
    <x:row r="231">
      <x:c r="A231" s="65"/>
      <x:c r="B231"/>
      <x:c r="C231"/>
      <x:c r="D231" s="29"/>
      <x:c r="E231" s="33"/>
      <x:c r="F231"/>
      <x:c r="G231"/>
      <x:c r="H231"/>
    </x:row>
    <x:row r="232">
      <x:c r="A232" s="65"/>
      <x:c r="B232"/>
      <x:c r="C232"/>
      <x:c r="D232" s="29"/>
      <x:c r="E232" s="33"/>
      <x:c r="F232"/>
      <x:c r="G232"/>
      <x:c r="H232"/>
    </x:row>
    <x:row r="233">
      <x:c r="A233" s="65"/>
      <x:c r="B233"/>
      <x:c r="C233"/>
      <x:c r="D233" s="29"/>
      <x:c r="E233" s="33"/>
      <x:c r="F233"/>
      <x:c r="G233"/>
      <x:c r="H233"/>
    </x:row>
    <x:row r="234">
      <x:c r="A234" s="65"/>
      <x:c r="B234"/>
      <x:c r="C234"/>
      <x:c r="D234" s="29"/>
      <x:c r="E234" s="33"/>
      <x:c r="F234"/>
      <x:c r="G234"/>
      <x:c r="H234"/>
    </x:row>
    <x:row r="235">
      <x:c r="A235" s="65"/>
      <x:c r="B235"/>
      <x:c r="C235"/>
      <x:c r="D235" s="29"/>
      <x:c r="E235" s="33"/>
      <x:c r="F235"/>
      <x:c r="G235"/>
      <x:c r="H235"/>
    </x:row>
    <x:row r="236">
      <x:c r="A236" s="65"/>
      <x:c r="B236"/>
      <x:c r="C236"/>
      <x:c r="D236" s="29"/>
      <x:c r="E236" s="33"/>
      <x:c r="F236"/>
      <x:c r="G236"/>
      <x:c r="H236"/>
    </x:row>
    <x:row r="237">
      <x:c r="A237" s="65"/>
      <x:c r="B237"/>
      <x:c r="C237"/>
      <x:c r="D237" s="29"/>
      <x:c r="E237" s="33"/>
      <x:c r="F237"/>
      <x:c r="G237"/>
      <x:c r="H237"/>
    </x:row>
    <x:row r="238">
      <x:c r="A238" s="65"/>
      <x:c r="B238"/>
      <x:c r="C238"/>
      <x:c r="D238" s="29"/>
      <x:c r="E238" s="33"/>
      <x:c r="F238"/>
      <x:c r="G238"/>
      <x:c r="H238"/>
    </x:row>
    <x:row r="239">
      <x:c r="A239" s="65"/>
      <x:c r="B239"/>
      <x:c r="C239"/>
      <x:c r="D239" s="29"/>
      <x:c r="E239" s="33"/>
      <x:c r="F239"/>
      <x:c r="G239"/>
      <x:c r="H239"/>
    </x:row>
    <x:row r="240">
      <x:c r="A240" s="65"/>
      <x:c r="B240"/>
      <x:c r="C240"/>
      <x:c r="D240" s="29"/>
      <x:c r="E240" s="33"/>
      <x:c r="F240"/>
      <x:c r="G240"/>
      <x:c r="H240"/>
    </x:row>
    <x:row r="241">
      <x:c r="A241" s="65"/>
      <x:c r="B241"/>
      <x:c r="C241"/>
      <x:c r="D241" s="29"/>
      <x:c r="E241" s="33"/>
      <x:c r="F241"/>
      <x:c r="G241"/>
      <x:c r="H241"/>
    </x:row>
    <x:row r="242">
      <x:c r="A242" s="65"/>
      <x:c r="B242"/>
      <x:c r="C242"/>
      <x:c r="D242" s="29"/>
      <x:c r="E242" s="33"/>
      <x:c r="F242"/>
      <x:c r="G242"/>
      <x:c r="H242"/>
    </x:row>
    <x:row r="243">
      <x:c r="A243" s="65"/>
      <x:c r="B243"/>
      <x:c r="C243"/>
      <x:c r="D243" s="29"/>
      <x:c r="E243" s="33"/>
      <x:c r="F243"/>
      <x:c r="G243"/>
      <x:c r="H243"/>
    </x:row>
    <x:row r="244">
      <x:c r="A244" s="65"/>
      <x:c r="B244"/>
      <x:c r="C244"/>
      <x:c r="D244" s="29"/>
      <x:c r="E244" s="33"/>
      <x:c r="F244"/>
      <x:c r="G244"/>
      <x:c r="H244"/>
    </x:row>
    <x:row r="245">
      <x:c r="A245" s="65"/>
      <x:c r="B245"/>
      <x:c r="C245"/>
      <x:c r="D245" s="29"/>
      <x:c r="E245" s="33"/>
      <x:c r="F245"/>
      <x:c r="G245"/>
      <x:c r="H245"/>
    </x:row>
    <x:row r="246">
      <x:c r="A246" s="65"/>
      <x:c r="B246"/>
      <x:c r="C246"/>
      <x:c r="D246" s="29"/>
      <x:c r="E246" s="33"/>
      <x:c r="F246"/>
      <x:c r="G246"/>
      <x:c r="H246"/>
    </x:row>
    <x:row r="247">
      <x:c r="A247" s="65"/>
      <x:c r="B247"/>
      <x:c r="C247"/>
      <x:c r="D247" s="29"/>
      <x:c r="E247" s="33"/>
      <x:c r="F247"/>
      <x:c r="G247"/>
      <x:c r="H247"/>
    </x:row>
    <x:row r="248">
      <x:c r="A248" s="65"/>
      <x:c r="B248"/>
      <x:c r="C248"/>
      <x:c r="D248" s="29"/>
      <x:c r="E248" s="33"/>
      <x:c r="F248"/>
      <x:c r="G248"/>
      <x:c r="H248"/>
    </x:row>
    <x:row r="249">
      <x:c r="A249" s="65"/>
      <x:c r="B249"/>
      <x:c r="C249"/>
      <x:c r="D249" s="29"/>
      <x:c r="E249" s="33"/>
      <x:c r="F249"/>
      <x:c r="G249"/>
      <x:c r="H249"/>
    </x:row>
    <x:row r="250">
      <x:c r="A250" s="65"/>
      <x:c r="B250"/>
      <x:c r="C250"/>
      <x:c r="D250" s="29"/>
      <x:c r="E250" s="33"/>
      <x:c r="F250"/>
      <x:c r="G250"/>
      <x:c r="H250"/>
    </x:row>
    <x:row r="251">
      <x:c r="A251" s="65"/>
      <x:c r="B251"/>
      <x:c r="C251"/>
      <x:c r="D251" s="29"/>
      <x:c r="E251" s="33"/>
      <x:c r="F251"/>
      <x:c r="G251"/>
      <x:c r="H251"/>
    </x:row>
    <x:row r="252">
      <x:c r="A252" s="65"/>
      <x:c r="B252"/>
      <x:c r="C252"/>
      <x:c r="D252" s="29"/>
      <x:c r="E252" s="33"/>
      <x:c r="F252"/>
      <x:c r="G252"/>
      <x:c r="H252"/>
    </x:row>
    <x:row r="253">
      <x:c r="A253" s="65"/>
      <x:c r="B253"/>
      <x:c r="C253"/>
      <x:c r="D253" s="29"/>
      <x:c r="E253" s="33"/>
      <x:c r="F253"/>
      <x:c r="G253"/>
      <x:c r="H253"/>
    </x:row>
    <x:row r="254">
      <x:c r="A254" s="65"/>
      <x:c r="B254"/>
      <x:c r="C254"/>
      <x:c r="D254" s="29"/>
      <x:c r="E254" s="33"/>
      <x:c r="F254"/>
      <x:c r="G254"/>
      <x:c r="H254"/>
    </x:row>
    <x:row r="255">
      <x:c r="A255" s="65"/>
      <x:c r="B255"/>
      <x:c r="C255"/>
      <x:c r="D255" s="29"/>
      <x:c r="E255" s="33"/>
      <x:c r="F255"/>
      <x:c r="G255"/>
      <x:c r="H255"/>
    </x:row>
    <x:row r="256">
      <x:c r="A256" s="65"/>
      <x:c r="B256"/>
      <x:c r="C256"/>
      <x:c r="D256" s="29"/>
      <x:c r="E256" s="33"/>
      <x:c r="F256"/>
      <x:c r="G256"/>
      <x:c r="H256"/>
    </x:row>
    <x:row r="257">
      <x:c r="A257" s="65"/>
      <x:c r="B257"/>
      <x:c r="C257"/>
      <x:c r="D257" s="29"/>
      <x:c r="E257" s="33"/>
      <x:c r="F257"/>
      <x:c r="G257"/>
      <x:c r="H257"/>
    </x:row>
    <x:row r="258">
      <x:c r="A258" s="65"/>
      <x:c r="B258"/>
      <x:c r="C258"/>
      <x:c r="D258" s="29"/>
      <x:c r="E258" s="33"/>
      <x:c r="F258"/>
      <x:c r="G258"/>
      <x:c r="H258"/>
    </x:row>
    <x:row r="259">
      <x:c r="A259" s="65"/>
      <x:c r="B259"/>
      <x:c r="C259"/>
      <x:c r="D259" s="29"/>
      <x:c r="E259" s="33"/>
      <x:c r="F259"/>
      <x:c r="G259"/>
      <x:c r="H259"/>
    </x:row>
    <x:row r="260">
      <x:c r="A260" s="65"/>
      <x:c r="B260"/>
      <x:c r="C260"/>
      <x:c r="D260" s="29"/>
      <x:c r="E260" s="33"/>
      <x:c r="F260"/>
      <x:c r="G260"/>
      <x:c r="H260"/>
    </x:row>
    <x:row r="261">
      <x:c r="A261" s="65"/>
      <x:c r="B261"/>
      <x:c r="C261"/>
      <x:c r="D261" s="29"/>
      <x:c r="E261" s="33"/>
      <x:c r="F261"/>
      <x:c r="G261"/>
      <x:c r="H261"/>
    </x:row>
    <x:row r="262">
      <x:c r="A262" s="65"/>
      <x:c r="B262"/>
      <x:c r="C262"/>
      <x:c r="D262" s="29"/>
      <x:c r="E262" s="33"/>
      <x:c r="F262"/>
      <x:c r="G262"/>
      <x:c r="H262"/>
    </x:row>
    <x:row r="263">
      <x:c r="A263" s="65"/>
      <x:c r="B263"/>
      <x:c r="C263"/>
      <x:c r="D263" s="29"/>
      <x:c r="E263" s="33"/>
      <x:c r="F263"/>
      <x:c r="G263"/>
      <x:c r="H263"/>
    </x:row>
    <x:row r="264">
      <x:c r="A264" s="65"/>
      <x:c r="B264"/>
      <x:c r="C264"/>
      <x:c r="D264" s="29"/>
      <x:c r="E264" s="33"/>
      <x:c r="F264"/>
      <x:c r="G264"/>
      <x:c r="H264"/>
    </x:row>
    <x:row r="265">
      <x:c r="A265" s="65"/>
      <x:c r="B265"/>
      <x:c r="C265"/>
      <x:c r="D265" s="29"/>
      <x:c r="E265" s="33"/>
      <x:c r="F265"/>
      <x:c r="G265"/>
      <x:c r="H265"/>
    </x:row>
    <x:row r="266">
      <x:c r="A266" s="65"/>
      <x:c r="B266"/>
      <x:c r="C266"/>
      <x:c r="D266" s="29"/>
      <x:c r="E266" s="33"/>
      <x:c r="F266"/>
      <x:c r="G266"/>
      <x:c r="H266"/>
    </x:row>
    <x:row r="267">
      <x:c r="A267" s="65"/>
      <x:c r="B267"/>
      <x:c r="C267"/>
      <x:c r="D267" s="29"/>
      <x:c r="E267" s="33"/>
      <x:c r="F267"/>
      <x:c r="G267"/>
      <x:c r="H267"/>
    </x:row>
    <x:row r="268">
      <x:c r="A268" s="65"/>
      <x:c r="B268"/>
      <x:c r="C268"/>
      <x:c r="D268" s="29"/>
      <x:c r="E268" s="33"/>
      <x:c r="F268"/>
      <x:c r="G268"/>
      <x:c r="H268"/>
    </x:row>
    <x:row r="269">
      <x:c r="A269" s="65"/>
      <x:c r="B269"/>
      <x:c r="C269"/>
      <x:c r="D269" s="29"/>
      <x:c r="E269" s="33"/>
      <x:c r="F269"/>
      <x:c r="G269"/>
      <x:c r="H269"/>
    </x:row>
    <x:row r="270">
      <x:c r="A270" s="65"/>
      <x:c r="B270"/>
      <x:c r="C270"/>
      <x:c r="D270" s="29"/>
      <x:c r="E270" s="33"/>
      <x:c r="F270"/>
      <x:c r="G270"/>
      <x:c r="H270"/>
    </x:row>
    <x:row r="271">
      <x:c r="A271" s="65"/>
      <x:c r="B271"/>
      <x:c r="C271"/>
      <x:c r="D271" s="29"/>
      <x:c r="E271" s="33"/>
      <x:c r="F271"/>
      <x:c r="G271"/>
      <x:c r="H271"/>
    </x:row>
    <x:row r="272">
      <x:c r="A272" s="65"/>
      <x:c r="B272"/>
      <x:c r="C272"/>
      <x:c r="D272" s="29"/>
      <x:c r="E272" s="33"/>
      <x:c r="F272"/>
      <x:c r="G272"/>
      <x:c r="H272"/>
    </x:row>
    <x:row r="273">
      <x:c r="A273" s="65"/>
      <x:c r="B273"/>
      <x:c r="C273"/>
      <x:c r="D273" s="29"/>
      <x:c r="E273" s="33"/>
      <x:c r="F273"/>
      <x:c r="G273"/>
      <x:c r="H273"/>
    </x:row>
    <x:row r="274">
      <x:c r="A274" s="65"/>
      <x:c r="B274"/>
      <x:c r="C274"/>
      <x:c r="D274" s="29"/>
      <x:c r="E274" s="33"/>
      <x:c r="F274"/>
      <x:c r="G274"/>
      <x:c r="H274"/>
    </x:row>
    <x:row r="275">
      <x:c r="A275" s="65"/>
      <x:c r="B275"/>
      <x:c r="C275"/>
      <x:c r="D275" s="29"/>
      <x:c r="E275" s="33"/>
      <x:c r="F275"/>
      <x:c r="G275"/>
      <x:c r="H275"/>
    </x:row>
    <x:row r="276">
      <x:c r="A276" s="65"/>
      <x:c r="B276"/>
      <x:c r="C276"/>
      <x:c r="D276" s="29"/>
      <x:c r="E276" s="33"/>
      <x:c r="F276"/>
      <x:c r="G276"/>
      <x:c r="H276"/>
    </x:row>
    <x:row r="277">
      <x:c r="A277" s="65"/>
      <x:c r="B277"/>
      <x:c r="C277"/>
      <x:c r="D277" s="29"/>
      <x:c r="E277" s="33"/>
      <x:c r="F277"/>
      <x:c r="G277"/>
      <x:c r="H277"/>
    </x:row>
    <x:row r="278">
      <x:c r="A278" s="65"/>
      <x:c r="B278"/>
      <x:c r="C278"/>
      <x:c r="D278" s="29"/>
      <x:c r="E278" s="33"/>
      <x:c r="F278"/>
      <x:c r="G278"/>
      <x:c r="H278"/>
    </x:row>
    <x:row r="279">
      <x:c r="A279" s="65"/>
      <x:c r="B279"/>
      <x:c r="C279"/>
      <x:c r="D279" s="29"/>
      <x:c r="E279" s="33"/>
      <x:c r="F279"/>
      <x:c r="G279"/>
      <x:c r="H279"/>
    </x:row>
    <x:row r="280">
      <x:c r="A280" s="65"/>
      <x:c r="B280"/>
      <x:c r="C280"/>
      <x:c r="D280" s="29"/>
      <x:c r="E280" s="33"/>
      <x:c r="F280"/>
      <x:c r="G280"/>
      <x:c r="H280"/>
    </x:row>
    <x:row r="281">
      <x:c r="A281" s="65"/>
      <x:c r="B281"/>
      <x:c r="C281"/>
      <x:c r="D281" s="29"/>
      <x:c r="E281" s="33"/>
      <x:c r="F281"/>
      <x:c r="G281"/>
      <x:c r="H281"/>
    </x:row>
    <x:row r="282">
      <x:c r="A282" s="65"/>
      <x:c r="B282"/>
      <x:c r="C282"/>
      <x:c r="D282" s="29"/>
      <x:c r="E282" s="33"/>
      <x:c r="F282"/>
      <x:c r="G282"/>
      <x:c r="H282"/>
    </x:row>
    <x:row r="283">
      <x:c r="A283" s="65"/>
      <x:c r="B283"/>
      <x:c r="C283"/>
      <x:c r="D283" s="29"/>
      <x:c r="E283" s="33"/>
      <x:c r="F283"/>
      <x:c r="G283"/>
      <x:c r="H283"/>
    </x:row>
    <x:row r="284">
      <x:c r="A284" s="65"/>
      <x:c r="B284"/>
      <x:c r="C284"/>
      <x:c r="D284" s="29"/>
      <x:c r="E284" s="33"/>
      <x:c r="F284"/>
      <x:c r="G284"/>
      <x:c r="H284"/>
    </x:row>
    <x:row r="285">
      <x:c r="A285" s="65"/>
      <x:c r="B285"/>
      <x:c r="C285"/>
      <x:c r="D285" s="29"/>
      <x:c r="E285" s="33"/>
      <x:c r="F285"/>
      <x:c r="G285"/>
      <x:c r="H285"/>
    </x:row>
    <x:row r="286">
      <x:c r="A286" s="65"/>
      <x:c r="B286"/>
      <x:c r="C286"/>
      <x:c r="D286" s="29"/>
      <x:c r="E286" s="33"/>
      <x:c r="F286"/>
      <x:c r="G286"/>
      <x:c r="H286"/>
    </x:row>
    <x:row r="287">
      <x:c r="A287" s="65"/>
      <x:c r="B287"/>
      <x:c r="C287"/>
      <x:c r="D287" s="29"/>
      <x:c r="E287" s="33"/>
      <x:c r="F287"/>
      <x:c r="G287"/>
      <x:c r="H287"/>
    </x:row>
    <x:row r="288">
      <x:c r="A288" s="65"/>
      <x:c r="B288"/>
      <x:c r="C288"/>
      <x:c r="D288" s="29"/>
      <x:c r="E288" s="33"/>
      <x:c r="F288"/>
      <x:c r="G288"/>
      <x:c r="H288"/>
    </x:row>
    <x:row r="289">
      <x:c r="A289" s="65"/>
      <x:c r="B289"/>
      <x:c r="C289"/>
      <x:c r="D289" s="29"/>
      <x:c r="E289" s="33"/>
      <x:c r="F289"/>
      <x:c r="G289"/>
      <x:c r="H289"/>
    </x:row>
    <x:row r="290">
      <x:c r="A290" s="65"/>
      <x:c r="B290"/>
      <x:c r="C290"/>
      <x:c r="D290" s="29"/>
      <x:c r="E290" s="33"/>
      <x:c r="F290"/>
      <x:c r="G290"/>
      <x:c r="H290"/>
    </x:row>
    <x:row r="291">
      <x:c r="A291" s="65"/>
      <x:c r="B291"/>
      <x:c r="C291"/>
      <x:c r="D291" s="29"/>
      <x:c r="E291" s="33"/>
      <x:c r="F291"/>
      <x:c r="G291"/>
      <x:c r="H291"/>
    </x:row>
    <x:row r="292">
      <x:c r="A292" s="65"/>
      <x:c r="B292"/>
      <x:c r="C292"/>
      <x:c r="D292" s="29"/>
      <x:c r="E292" s="33"/>
      <x:c r="F292"/>
      <x:c r="G292"/>
      <x:c r="H292"/>
    </x:row>
    <x:row r="293">
      <x:c r="A293" s="65"/>
      <x:c r="B293"/>
      <x:c r="C293"/>
      <x:c r="D293" s="29"/>
      <x:c r="E293" s="33"/>
      <x:c r="F293"/>
      <x:c r="G293"/>
      <x:c r="H293"/>
    </x:row>
    <x:row r="294">
      <x:c r="A294" s="65"/>
      <x:c r="B294"/>
      <x:c r="C294"/>
      <x:c r="D294" s="29"/>
      <x:c r="E294" s="33"/>
      <x:c r="F294"/>
      <x:c r="G294"/>
      <x:c r="H294"/>
    </x:row>
    <x:row r="295">
      <x:c r="A295" s="65"/>
      <x:c r="B295"/>
      <x:c r="C295"/>
      <x:c r="D295" s="29"/>
      <x:c r="E295" s="33"/>
      <x:c r="F295"/>
      <x:c r="G295"/>
      <x:c r="H295"/>
    </x:row>
    <x:row r="296">
      <x:c r="A296" s="65"/>
      <x:c r="B296"/>
      <x:c r="C296"/>
      <x:c r="D296" s="29"/>
      <x:c r="E296" s="33"/>
      <x:c r="F296"/>
      <x:c r="G296"/>
      <x:c r="H296"/>
    </x:row>
    <x:row r="297">
      <x:c r="A297" s="65"/>
      <x:c r="B297"/>
      <x:c r="C297"/>
      <x:c r="D297" s="29"/>
      <x:c r="E297" s="33"/>
      <x:c r="F297"/>
      <x:c r="G297"/>
      <x:c r="H297"/>
    </x:row>
    <x:row r="298">
      <x:c r="A298" s="65"/>
      <x:c r="B298"/>
      <x:c r="C298"/>
      <x:c r="D298" s="29"/>
      <x:c r="E298" s="33"/>
      <x:c r="F298"/>
      <x:c r="G298"/>
      <x:c r="H298"/>
    </x:row>
    <x:row r="299">
      <x:c r="A299" s="65"/>
      <x:c r="B299"/>
      <x:c r="C299"/>
      <x:c r="D299" s="29"/>
      <x:c r="E299" s="33"/>
      <x:c r="F299"/>
      <x:c r="G299"/>
      <x:c r="H299"/>
    </x:row>
    <x:row r="300">
      <x:c r="A300" s="65"/>
      <x:c r="B300"/>
      <x:c r="C300"/>
      <x:c r="D300" s="29"/>
      <x:c r="E300" s="33"/>
      <x:c r="F300"/>
      <x:c r="G300"/>
      <x:c r="H300"/>
    </x:row>
    <x:row r="301">
      <x:c r="A301" s="65"/>
      <x:c r="B301"/>
      <x:c r="C301"/>
      <x:c r="D301" s="29"/>
      <x:c r="E301" s="33"/>
      <x:c r="F301"/>
      <x:c r="G301"/>
      <x:c r="H301"/>
    </x:row>
    <x:row r="302">
      <x:c r="A302" s="65"/>
      <x:c r="B302"/>
      <x:c r="C302"/>
      <x:c r="D302" s="29"/>
      <x:c r="E302" s="33"/>
      <x:c r="F302"/>
      <x:c r="G302"/>
      <x:c r="H302"/>
    </x:row>
    <x:row r="303">
      <x:c r="A303" s="65"/>
      <x:c r="B303"/>
      <x:c r="C303"/>
      <x:c r="D303" s="29"/>
      <x:c r="E303" s="33"/>
      <x:c r="F303"/>
      <x:c r="G303"/>
      <x:c r="H303"/>
    </x:row>
    <x:row r="304">
      <x:c r="A304" s="65"/>
      <x:c r="B304"/>
      <x:c r="C304"/>
      <x:c r="D304" s="29"/>
      <x:c r="E304" s="33"/>
      <x:c r="F304"/>
      <x:c r="G304"/>
      <x:c r="H304"/>
    </x:row>
    <x:row r="305">
      <x:c r="A305" s="65"/>
      <x:c r="B305"/>
      <x:c r="C305"/>
      <x:c r="D305" s="29"/>
      <x:c r="E305" s="33"/>
      <x:c r="F305"/>
      <x:c r="G305"/>
      <x:c r="H305"/>
    </x:row>
    <x:row r="306">
      <x:c r="A306" s="65"/>
      <x:c r="B306"/>
      <x:c r="C306"/>
      <x:c r="D306" s="29"/>
      <x:c r="E306" s="33"/>
      <x:c r="F306"/>
      <x:c r="G306"/>
      <x:c r="H306"/>
    </x:row>
    <x:row r="307">
      <x:c r="A307" s="65"/>
      <x:c r="B307"/>
      <x:c r="C307"/>
      <x:c r="D307" s="29"/>
      <x:c r="E307" s="33"/>
      <x:c r="F307"/>
      <x:c r="G307"/>
      <x:c r="H307"/>
    </x:row>
    <x:row r="308">
      <x:c r="A308" s="65"/>
      <x:c r="B308"/>
      <x:c r="C308"/>
      <x:c r="D308" s="29"/>
      <x:c r="E308" s="33"/>
      <x:c r="F308"/>
      <x:c r="G308"/>
      <x:c r="H308"/>
    </x:row>
    <x:row r="309">
      <x:c r="A309" s="65"/>
      <x:c r="B309"/>
      <x:c r="C309"/>
      <x:c r="D309" s="29"/>
      <x:c r="E309" s="33"/>
      <x:c r="F309"/>
      <x:c r="G309"/>
      <x:c r="H309"/>
    </x:row>
    <x:row r="310">
      <x:c r="A310" s="65"/>
      <x:c r="B310"/>
      <x:c r="C310"/>
      <x:c r="D310" s="29"/>
      <x:c r="E310" s="33"/>
      <x:c r="F310"/>
      <x:c r="G310"/>
      <x:c r="H310"/>
    </x:row>
    <x:row r="311">
      <x:c r="A311" s="65"/>
      <x:c r="B311"/>
      <x:c r="C311"/>
      <x:c r="D311" s="29"/>
      <x:c r="E311" s="33"/>
      <x:c r="F311"/>
      <x:c r="G311"/>
      <x:c r="H311"/>
    </x:row>
    <x:row r="312">
      <x:c r="A312" s="65"/>
      <x:c r="B312"/>
      <x:c r="C312"/>
      <x:c r="D312" s="29"/>
      <x:c r="E312" s="33"/>
      <x:c r="F312"/>
      <x:c r="G312"/>
      <x:c r="H312"/>
    </x:row>
    <x:row r="313">
      <x:c r="A313" s="65"/>
      <x:c r="B313"/>
      <x:c r="C313"/>
      <x:c r="D313" s="29"/>
      <x:c r="E313" s="33"/>
      <x:c r="F313"/>
      <x:c r="G313"/>
      <x:c r="H313"/>
    </x:row>
    <x:row r="314">
      <x:c r="A314" s="65"/>
      <x:c r="B314"/>
      <x:c r="C314"/>
      <x:c r="D314" s="29"/>
      <x:c r="E314" s="33"/>
      <x:c r="F314"/>
      <x:c r="G314"/>
      <x:c r="H314"/>
    </x:row>
    <x:row r="315">
      <x:c r="A315" s="65"/>
      <x:c r="B315"/>
      <x:c r="C315"/>
      <x:c r="D315" s="29"/>
      <x:c r="E315" s="33"/>
      <x:c r="F315"/>
      <x:c r="G315"/>
      <x:c r="H315"/>
    </x:row>
    <x:row r="316">
      <x:c r="A316" s="65"/>
      <x:c r="B316"/>
      <x:c r="C316"/>
      <x:c r="D316" s="29"/>
      <x:c r="E316" s="33"/>
      <x:c r="F316"/>
      <x:c r="G316"/>
      <x:c r="H316"/>
    </x:row>
    <x:row r="317">
      <x:c r="A317" s="65"/>
      <x:c r="B317"/>
      <x:c r="C317"/>
      <x:c r="D317" s="29"/>
      <x:c r="E317" s="33"/>
      <x:c r="F317"/>
      <x:c r="G317"/>
      <x:c r="H317"/>
    </x:row>
    <x:row r="318">
      <x:c r="A318" s="65"/>
      <x:c r="B318"/>
      <x:c r="C318"/>
      <x:c r="D318" s="29"/>
      <x:c r="E318" s="33"/>
      <x:c r="F318"/>
      <x:c r="G318"/>
      <x:c r="H318"/>
    </x:row>
    <x:row r="319">
      <x:c r="A319" s="65"/>
      <x:c r="B319"/>
      <x:c r="C319"/>
      <x:c r="D319" s="29"/>
      <x:c r="E319" s="33"/>
      <x:c r="F319"/>
      <x:c r="G319"/>
      <x:c r="H319"/>
    </x:row>
    <x:row r="320">
      <x:c r="A320" s="65"/>
      <x:c r="B320"/>
      <x:c r="C320"/>
      <x:c r="D320" s="29"/>
      <x:c r="E320" s="33"/>
      <x:c r="F320"/>
      <x:c r="G320"/>
      <x:c r="H320"/>
    </x:row>
    <x:row r="321">
      <x:c r="A321" s="65"/>
      <x:c r="B321"/>
      <x:c r="C321"/>
      <x:c r="D321" s="29"/>
      <x:c r="E321" s="33"/>
      <x:c r="F321"/>
      <x:c r="G321"/>
      <x:c r="H321"/>
    </x:row>
    <x:row r="322">
      <x:c r="A322" s="65"/>
      <x:c r="B322"/>
      <x:c r="C322"/>
      <x:c r="D322" s="29"/>
      <x:c r="E322" s="33"/>
      <x:c r="F322"/>
      <x:c r="G322"/>
      <x:c r="H322"/>
    </x:row>
    <x:row r="323">
      <x:c r="A323" s="65"/>
      <x:c r="B323"/>
      <x:c r="C323"/>
      <x:c r="D323" s="29"/>
      <x:c r="E323" s="33"/>
      <x:c r="F323"/>
      <x:c r="G323"/>
      <x:c r="H323"/>
    </x:row>
    <x:row r="324">
      <x:c r="A324" s="65"/>
      <x:c r="B324"/>
      <x:c r="C324"/>
      <x:c r="D324" s="29"/>
      <x:c r="E324" s="33"/>
      <x:c r="F324"/>
      <x:c r="G324"/>
      <x:c r="H324"/>
    </x:row>
    <x:row r="325">
      <x:c r="A325" s="65"/>
      <x:c r="B325"/>
      <x:c r="C325"/>
      <x:c r="D325" s="29"/>
      <x:c r="E325" s="33"/>
      <x:c r="F325"/>
      <x:c r="G325"/>
      <x:c r="H325"/>
    </x:row>
    <x:row r="326">
      <x:c r="A326" s="65"/>
      <x:c r="B326"/>
      <x:c r="C326"/>
      <x:c r="D326" s="29"/>
      <x:c r="E326" s="33"/>
      <x:c r="F326"/>
      <x:c r="G326"/>
      <x:c r="H326"/>
    </x:row>
    <x:row r="327">
      <x:c r="A327" s="65"/>
      <x:c r="B327"/>
      <x:c r="C327"/>
      <x:c r="D327" s="29"/>
      <x:c r="E327" s="33"/>
      <x:c r="F327"/>
      <x:c r="G327"/>
      <x:c r="H327"/>
    </x:row>
    <x:row r="328">
      <x:c r="A328" s="65"/>
      <x:c r="B328"/>
      <x:c r="C328"/>
      <x:c r="D328" s="29"/>
      <x:c r="E328" s="33"/>
      <x:c r="F328"/>
      <x:c r="G328"/>
      <x:c r="H328"/>
    </x:row>
    <x:row r="329">
      <x:c r="A329" s="65"/>
      <x:c r="B329"/>
      <x:c r="C329"/>
      <x:c r="D329" s="29"/>
      <x:c r="E329" s="33"/>
      <x:c r="F329"/>
      <x:c r="G329"/>
      <x:c r="H329"/>
    </x:row>
    <x:row r="330">
      <x:c r="A330" s="65"/>
      <x:c r="B330"/>
      <x:c r="C330"/>
      <x:c r="D330" s="29"/>
      <x:c r="E330" s="33"/>
      <x:c r="F330"/>
      <x:c r="G330"/>
      <x:c r="H330"/>
    </x:row>
    <x:row r="331">
      <x:c r="A331" s="65"/>
      <x:c r="B331"/>
      <x:c r="C331"/>
      <x:c r="D331" s="29"/>
      <x:c r="E331" s="33"/>
      <x:c r="F331"/>
      <x:c r="G331"/>
      <x:c r="H331"/>
    </x:row>
    <x:row r="332">
      <x:c r="A332" s="65"/>
      <x:c r="B332"/>
      <x:c r="C332"/>
      <x:c r="D332" s="29"/>
      <x:c r="E332" s="33"/>
      <x:c r="F332"/>
      <x:c r="G332"/>
      <x:c r="H332"/>
    </x:row>
    <x:row r="333">
      <x:c r="A333" s="65"/>
      <x:c r="B333"/>
      <x:c r="C333"/>
      <x:c r="D333" s="29"/>
      <x:c r="E333" s="33"/>
      <x:c r="F333"/>
      <x:c r="G333"/>
      <x:c r="H333"/>
    </x:row>
    <x:row r="334">
      <x:c r="A334" s="65"/>
      <x:c r="B334"/>
      <x:c r="C334"/>
      <x:c r="D334" s="29"/>
      <x:c r="E334" s="33"/>
      <x:c r="F334"/>
      <x:c r="G334"/>
      <x:c r="H334"/>
    </x:row>
    <x:row r="335">
      <x:c r="A335" s="65"/>
      <x:c r="B335"/>
      <x:c r="C335"/>
      <x:c r="D335" s="29"/>
      <x:c r="E335" s="33"/>
      <x:c r="F335"/>
      <x:c r="G335"/>
      <x:c r="H335"/>
    </x:row>
    <x:row r="336">
      <x:c r="A336" s="65"/>
      <x:c r="B336"/>
      <x:c r="C336"/>
      <x:c r="D336" s="29"/>
      <x:c r="E336" s="33"/>
      <x:c r="F336"/>
      <x:c r="G336"/>
      <x:c r="H336"/>
    </x:row>
    <x:row r="337">
      <x:c r="A337" s="65"/>
      <x:c r="B337"/>
      <x:c r="C337"/>
      <x:c r="D337" s="29"/>
      <x:c r="E337" s="33"/>
      <x:c r="F337"/>
      <x:c r="G337"/>
      <x:c r="H337"/>
    </x:row>
    <x:row r="338">
      <x:c r="A338" s="65"/>
      <x:c r="B338"/>
      <x:c r="C338"/>
      <x:c r="D338" s="29"/>
      <x:c r="E338" s="33"/>
      <x:c r="F338"/>
      <x:c r="G338"/>
      <x:c r="H338"/>
    </x:row>
    <x:row r="339">
      <x:c r="A339" s="65"/>
      <x:c r="B339"/>
      <x:c r="C339"/>
      <x:c r="D339" s="29"/>
      <x:c r="E339" s="33"/>
      <x:c r="F339"/>
      <x:c r="G339"/>
      <x:c r="H339"/>
    </x:row>
    <x:row r="340">
      <x:c r="A340" s="65"/>
      <x:c r="B340"/>
      <x:c r="C340"/>
      <x:c r="D340" s="29"/>
      <x:c r="E340" s="33"/>
      <x:c r="F340"/>
      <x:c r="G340"/>
      <x:c r="H340"/>
    </x:row>
    <x:row r="341">
      <x:c r="A341" s="65"/>
      <x:c r="B341"/>
      <x:c r="C341"/>
      <x:c r="D341" s="29"/>
      <x:c r="E341" s="33"/>
      <x:c r="F341"/>
      <x:c r="G341"/>
      <x:c r="H341"/>
    </x:row>
    <x:row r="342">
      <x:c r="A342" s="65"/>
      <x:c r="B342"/>
      <x:c r="C342"/>
      <x:c r="D342" s="29"/>
      <x:c r="E342" s="33"/>
      <x:c r="F342"/>
      <x:c r="G342"/>
      <x:c r="H342"/>
    </x:row>
    <x:row r="343">
      <x:c r="A343" s="65"/>
      <x:c r="B343"/>
      <x:c r="C343"/>
      <x:c r="D343" s="29"/>
      <x:c r="E343" s="33"/>
      <x:c r="F343"/>
      <x:c r="G343"/>
      <x:c r="H343"/>
    </x:row>
    <x:row r="344">
      <x:c r="A344" s="65"/>
      <x:c r="B344"/>
      <x:c r="C344"/>
      <x:c r="D344" s="29"/>
      <x:c r="E344" s="33"/>
      <x:c r="F344"/>
      <x:c r="G344"/>
      <x:c r="H344"/>
    </x:row>
    <x:row r="345">
      <x:c r="A345" s="65"/>
      <x:c r="B345"/>
      <x:c r="C345"/>
      <x:c r="D345" s="29"/>
      <x:c r="E345" s="33"/>
      <x:c r="F345"/>
      <x:c r="G345"/>
      <x:c r="H345"/>
    </x:row>
    <x:row r="346">
      <x:c r="A346" s="65"/>
      <x:c r="B346"/>
      <x:c r="C346"/>
      <x:c r="D346" s="29"/>
      <x:c r="E346" s="33"/>
      <x:c r="F346"/>
      <x:c r="G346"/>
      <x:c r="H346"/>
    </x:row>
    <x:row r="347">
      <x:c r="A347" s="65"/>
      <x:c r="B347"/>
      <x:c r="C347"/>
      <x:c r="D347" s="29"/>
      <x:c r="E347" s="33"/>
      <x:c r="F347"/>
      <x:c r="G347"/>
      <x:c r="H347"/>
    </x:row>
    <x:row r="348">
      <x:c r="A348" s="65"/>
      <x:c r="B348"/>
      <x:c r="C348"/>
      <x:c r="D348" s="29"/>
      <x:c r="E348" s="33"/>
      <x:c r="F348"/>
      <x:c r="G348"/>
      <x:c r="H348"/>
    </x:row>
    <x:row r="349">
      <x:c r="A349" s="65"/>
      <x:c r="B349"/>
      <x:c r="C349"/>
      <x:c r="D349" s="29"/>
      <x:c r="E349" s="33"/>
      <x:c r="F349"/>
      <x:c r="G349"/>
      <x:c r="H349"/>
    </x:row>
    <x:row r="350">
      <x:c r="A350" s="65"/>
      <x:c r="B350"/>
      <x:c r="C350"/>
      <x:c r="D350" s="29"/>
      <x:c r="E350" s="33"/>
      <x:c r="F350"/>
      <x:c r="G350"/>
      <x:c r="H350"/>
    </x:row>
    <x:row r="351">
      <x:c r="A351" s="65"/>
      <x:c r="B351"/>
      <x:c r="C351"/>
      <x:c r="D351" s="29"/>
      <x:c r="E351" s="33"/>
      <x:c r="F351"/>
      <x:c r="G351"/>
      <x:c r="H351"/>
    </x:row>
    <x:row r="352">
      <x:c r="A352" s="65"/>
      <x:c r="B352"/>
      <x:c r="C352"/>
      <x:c r="D352" s="29"/>
      <x:c r="E352" s="33"/>
      <x:c r="F352"/>
      <x:c r="G352"/>
      <x:c r="H352"/>
    </x:row>
    <x:row r="353">
      <x:c r="A353" s="65"/>
      <x:c r="B353"/>
      <x:c r="C353"/>
      <x:c r="D353" s="29"/>
      <x:c r="E353" s="33"/>
      <x:c r="F353"/>
      <x:c r="G353"/>
      <x:c r="H353"/>
    </x:row>
    <x:row r="354">
      <x:c r="A354" s="65"/>
      <x:c r="B354"/>
      <x:c r="C354"/>
      <x:c r="D354" s="29"/>
      <x:c r="E354" s="33"/>
      <x:c r="F354"/>
      <x:c r="G354"/>
      <x:c r="H354"/>
    </x:row>
    <x:row r="355">
      <x:c r="A355" s="65"/>
      <x:c r="B355"/>
      <x:c r="C355"/>
      <x:c r="D355" s="29"/>
      <x:c r="E355" s="33"/>
      <x:c r="F355"/>
      <x:c r="G355"/>
      <x:c r="H355"/>
    </x:row>
    <x:row r="356">
      <x:c r="A356" s="65"/>
      <x:c r="B356"/>
      <x:c r="C356"/>
      <x:c r="D356" s="29"/>
      <x:c r="E356" s="33"/>
      <x:c r="F356"/>
      <x:c r="G356"/>
      <x:c r="H356"/>
    </x:row>
    <x:row r="357">
      <x:c r="A357" s="65"/>
      <x:c r="B357"/>
      <x:c r="C357"/>
      <x:c r="D357" s="29"/>
      <x:c r="E357" s="33"/>
      <x:c r="F357"/>
      <x:c r="G357"/>
      <x:c r="H357"/>
    </x:row>
    <x:row r="358">
      <x:c r="A358" s="65"/>
      <x:c r="B358"/>
      <x:c r="C358"/>
      <x:c r="D358" s="29"/>
      <x:c r="E358" s="33"/>
      <x:c r="F358"/>
      <x:c r="G358"/>
      <x:c r="H358"/>
    </x:row>
    <x:row r="359">
      <x:c r="A359" s="65"/>
      <x:c r="B359"/>
      <x:c r="C359"/>
      <x:c r="D359" s="29"/>
      <x:c r="E359" s="33"/>
      <x:c r="F359"/>
      <x:c r="G359"/>
      <x:c r="H359"/>
    </x:row>
    <x:row r="360">
      <x:c r="A360" s="65"/>
      <x:c r="B360"/>
      <x:c r="C360"/>
      <x:c r="D360" s="29"/>
      <x:c r="E360" s="33"/>
      <x:c r="F360"/>
      <x:c r="G360"/>
      <x:c r="H360"/>
    </x:row>
    <x:row r="361">
      <x:c r="A361" s="65"/>
      <x:c r="B361"/>
      <x:c r="C361"/>
      <x:c r="D361" s="29"/>
      <x:c r="E361" s="33"/>
      <x:c r="F361"/>
      <x:c r="G361"/>
      <x:c r="H361"/>
    </x:row>
    <x:row r="362">
      <x:c r="A362" s="65"/>
      <x:c r="B362"/>
      <x:c r="C362"/>
      <x:c r="D362" s="29"/>
      <x:c r="E362" s="33"/>
      <x:c r="F362"/>
      <x:c r="G362"/>
      <x:c r="H362"/>
    </x:row>
    <x:row r="363">
      <x:c r="A363" s="65"/>
      <x:c r="B363"/>
      <x:c r="C363"/>
      <x:c r="D363" s="29"/>
      <x:c r="E363" s="33"/>
      <x:c r="F363"/>
      <x:c r="G363"/>
      <x:c r="H363"/>
    </x:row>
    <x:row r="364">
      <x:c r="A364" s="65"/>
      <x:c r="B364"/>
      <x:c r="C364"/>
      <x:c r="D364" s="29"/>
      <x:c r="E364" s="33"/>
      <x:c r="F364"/>
      <x:c r="G364"/>
      <x:c r="H364"/>
    </x:row>
    <x:row r="365">
      <x:c r="A365" s="65"/>
      <x:c r="B365"/>
      <x:c r="C365"/>
      <x:c r="D365" s="29"/>
      <x:c r="E365" s="33"/>
      <x:c r="F365"/>
      <x:c r="G365"/>
      <x:c r="H365"/>
    </x:row>
    <x:row r="366">
      <x:c r="A366" s="65"/>
      <x:c r="B366"/>
      <x:c r="C366"/>
      <x:c r="D366" s="29"/>
      <x:c r="E366" s="33"/>
      <x:c r="F366"/>
      <x:c r="G366"/>
      <x:c r="H366"/>
    </x:row>
    <x:row r="367">
      <x:c r="A367" s="65"/>
      <x:c r="B367"/>
      <x:c r="C367"/>
      <x:c r="D367" s="29"/>
      <x:c r="E367" s="33"/>
      <x:c r="F367"/>
      <x:c r="G367"/>
      <x:c r="H367"/>
    </x:row>
    <x:row r="368">
      <x:c r="A368" s="65"/>
      <x:c r="B368"/>
      <x:c r="C368"/>
      <x:c r="D368" s="29"/>
      <x:c r="E368" s="33"/>
      <x:c r="F368"/>
      <x:c r="G368"/>
      <x:c r="H368"/>
    </x:row>
    <x:row r="369">
      <x:c r="A369" s="65"/>
      <x:c r="B369"/>
      <x:c r="C369"/>
      <x:c r="D369" s="29"/>
      <x:c r="E369" s="33"/>
      <x:c r="F369"/>
      <x:c r="G369"/>
      <x:c r="H369"/>
    </x:row>
    <x:row r="370">
      <x:c r="A370" s="65"/>
      <x:c r="B370"/>
      <x:c r="C370"/>
      <x:c r="D370" s="29"/>
      <x:c r="E370" s="33"/>
      <x:c r="F370"/>
      <x:c r="G370"/>
      <x:c r="H370"/>
    </x:row>
    <x:row r="371">
      <x:c r="A371" s="65"/>
      <x:c r="B371"/>
      <x:c r="C371"/>
      <x:c r="D371" s="29"/>
      <x:c r="E371" s="33"/>
      <x:c r="F371"/>
      <x:c r="G371"/>
      <x:c r="H371"/>
    </x:row>
    <x:row r="372">
      <x:c r="A372" s="65"/>
      <x:c r="B372"/>
      <x:c r="C372"/>
      <x:c r="D372" s="29"/>
      <x:c r="E372" s="33"/>
      <x:c r="F372"/>
      <x:c r="G372"/>
      <x:c r="H372"/>
    </x:row>
    <x:row r="373">
      <x:c r="A373" s="65"/>
      <x:c r="B373"/>
      <x:c r="C373"/>
      <x:c r="D373" s="29"/>
      <x:c r="E373" s="33"/>
      <x:c r="F373"/>
      <x:c r="G373"/>
      <x:c r="H373"/>
    </x:row>
    <x:row r="374">
      <x:c r="A374" s="65"/>
      <x:c r="B374"/>
      <x:c r="C374"/>
      <x:c r="D374" s="29"/>
      <x:c r="E374" s="33"/>
      <x:c r="F374"/>
      <x:c r="G374"/>
      <x:c r="H374"/>
    </x:row>
    <x:row r="375">
      <x:c r="A375" s="65"/>
      <x:c r="B375"/>
      <x:c r="C375"/>
      <x:c r="D375" s="29"/>
      <x:c r="E375" s="33"/>
      <x:c r="F375"/>
      <x:c r="G375"/>
      <x:c r="H375"/>
    </x:row>
    <x:row r="376">
      <x:c r="A376" s="65"/>
      <x:c r="B376"/>
      <x:c r="C376"/>
      <x:c r="D376" s="29"/>
      <x:c r="E376" s="33"/>
      <x:c r="F376"/>
      <x:c r="G376"/>
      <x:c r="H376"/>
    </x:row>
    <x:row r="377">
      <x:c r="A377" s="65"/>
      <x:c r="B377"/>
      <x:c r="C377"/>
      <x:c r="D377" s="29"/>
      <x:c r="E377" s="33"/>
      <x:c r="F377"/>
      <x:c r="G377"/>
      <x:c r="H377"/>
    </x:row>
    <x:row r="378">
      <x:c r="A378" s="65"/>
      <x:c r="B378"/>
      <x:c r="C378"/>
      <x:c r="D378" s="29"/>
      <x:c r="E378" s="33"/>
      <x:c r="F378"/>
      <x:c r="G378"/>
      <x:c r="H378"/>
    </x:row>
    <x:row r="379">
      <x:c r="A379" s="65"/>
      <x:c r="B379"/>
      <x:c r="C379"/>
      <x:c r="D379" s="29"/>
      <x:c r="E379" s="33"/>
      <x:c r="F379"/>
      <x:c r="G379"/>
      <x:c r="H379"/>
    </x:row>
    <x:row r="380">
      <x:c r="A380" s="65"/>
      <x:c r="B380"/>
      <x:c r="C380"/>
      <x:c r="D380" s="29"/>
      <x:c r="E380" s="33"/>
      <x:c r="F380"/>
      <x:c r="G380"/>
      <x:c r="H380"/>
    </x:row>
    <x:row r="381">
      <x:c r="A381" s="65"/>
      <x:c r="B381"/>
      <x:c r="C381"/>
      <x:c r="D381" s="29"/>
      <x:c r="E381" s="33"/>
      <x:c r="F381"/>
      <x:c r="G381"/>
      <x:c r="H381"/>
    </x:row>
    <x:row r="382">
      <x:c r="A382" s="65"/>
      <x:c r="B382"/>
      <x:c r="C382"/>
      <x:c r="D382" s="29"/>
      <x:c r="E382" s="33"/>
      <x:c r="F382"/>
      <x:c r="G382"/>
      <x:c r="H382"/>
    </x:row>
    <x:row r="383">
      <x:c r="A383" s="65"/>
      <x:c r="B383"/>
      <x:c r="C383"/>
      <x:c r="D383" s="29"/>
      <x:c r="E383" s="33"/>
      <x:c r="F383"/>
      <x:c r="G383"/>
      <x:c r="H383"/>
    </x:row>
    <x:row r="384">
      <x:c r="A384" s="65"/>
      <x:c r="B384"/>
      <x:c r="C384"/>
      <x:c r="D384" s="29"/>
      <x:c r="E384" s="33"/>
      <x:c r="F384"/>
      <x:c r="G384"/>
      <x:c r="H384"/>
    </x:row>
    <x:row r="385">
      <x:c r="A385" s="65"/>
      <x:c r="B385"/>
      <x:c r="C385"/>
      <x:c r="D385" s="29"/>
      <x:c r="E385" s="33"/>
      <x:c r="F385"/>
      <x:c r="G385"/>
      <x:c r="H385"/>
    </x:row>
    <x:row r="386">
      <x:c r="A386" s="65"/>
      <x:c r="B386"/>
      <x:c r="C386"/>
      <x:c r="D386" s="29"/>
      <x:c r="E386" s="33"/>
      <x:c r="F386"/>
      <x:c r="G386"/>
      <x:c r="H386"/>
    </x:row>
    <x:row r="387">
      <x:c r="A387" s="65"/>
      <x:c r="B387"/>
      <x:c r="C387"/>
      <x:c r="D387" s="29"/>
      <x:c r="E387" s="33"/>
      <x:c r="F387"/>
      <x:c r="G387"/>
      <x:c r="H387"/>
    </x:row>
    <x:row r="388">
      <x:c r="A388" s="65"/>
      <x:c r="B388"/>
      <x:c r="C388"/>
      <x:c r="D388" s="29"/>
      <x:c r="E388" s="33"/>
      <x:c r="F388"/>
      <x:c r="G388"/>
      <x:c r="H388"/>
    </x:row>
    <x:row r="389">
      <x:c r="A389" s="65"/>
      <x:c r="B389"/>
      <x:c r="C389"/>
      <x:c r="D389" s="29"/>
      <x:c r="E389" s="33"/>
      <x:c r="F389"/>
      <x:c r="G389"/>
      <x:c r="H389"/>
    </x:row>
    <x:row r="390">
      <x:c r="A390" s="65"/>
      <x:c r="B390"/>
      <x:c r="C390"/>
      <x:c r="D390" s="29"/>
      <x:c r="E390" s="33"/>
      <x:c r="F390"/>
      <x:c r="G390"/>
      <x:c r="H390"/>
    </x:row>
    <x:row r="391">
      <x:c r="A391" s="65"/>
      <x:c r="B391"/>
      <x:c r="C391"/>
      <x:c r="D391" s="29"/>
      <x:c r="E391" s="33"/>
      <x:c r="F391"/>
      <x:c r="G391"/>
      <x:c r="H391"/>
    </x:row>
    <x:row r="392">
      <x:c r="A392" s="65"/>
      <x:c r="B392"/>
      <x:c r="C392"/>
      <x:c r="D392" s="29"/>
      <x:c r="E392" s="33"/>
      <x:c r="F392"/>
      <x:c r="G392"/>
      <x:c r="H392"/>
    </x:row>
    <x:row r="393">
      <x:c r="A393" s="65"/>
      <x:c r="B393"/>
      <x:c r="C393"/>
      <x:c r="D393" s="29"/>
      <x:c r="E393" s="33"/>
      <x:c r="F393"/>
      <x:c r="G393"/>
      <x:c r="H393"/>
    </x:row>
    <x:row r="394">
      <x:c r="A394" s="65"/>
      <x:c r="B394"/>
      <x:c r="C394"/>
      <x:c r="D394" s="29"/>
      <x:c r="E394" s="33"/>
      <x:c r="F394"/>
      <x:c r="G394"/>
      <x:c r="H394"/>
    </x:row>
    <x:row r="395">
      <x:c r="A395" s="65"/>
      <x:c r="B395"/>
      <x:c r="C395"/>
      <x:c r="D395" s="29"/>
      <x:c r="E395" s="33"/>
      <x:c r="F395"/>
      <x:c r="G395"/>
      <x:c r="H395"/>
    </x:row>
    <x:row r="396">
      <x:c r="A396" s="65"/>
      <x:c r="B396"/>
      <x:c r="C396"/>
      <x:c r="D396" s="29"/>
      <x:c r="E396" s="33"/>
      <x:c r="F396"/>
      <x:c r="G396"/>
      <x:c r="H396"/>
    </x:row>
    <x:row r="397">
      <x:c r="A397" s="65"/>
      <x:c r="B397"/>
      <x:c r="C397"/>
      <x:c r="D397" s="29"/>
      <x:c r="E397" s="33"/>
      <x:c r="F397"/>
      <x:c r="G397"/>
      <x:c r="H397"/>
    </x:row>
    <x:row r="398">
      <x:c r="A398" s="65"/>
      <x:c r="B398"/>
      <x:c r="C398"/>
      <x:c r="D398" s="29"/>
      <x:c r="E398" s="33"/>
      <x:c r="F398"/>
      <x:c r="G398"/>
      <x:c r="H398"/>
    </x:row>
    <x:row r="399">
      <x:c r="A399" s="65"/>
      <x:c r="B399"/>
      <x:c r="C399"/>
      <x:c r="D399" s="29"/>
      <x:c r="E399" s="33"/>
      <x:c r="F399"/>
      <x:c r="G399"/>
      <x:c r="H399"/>
    </x:row>
    <x:row r="400">
      <x:c r="A400" s="65"/>
      <x:c r="B400"/>
      <x:c r="C400"/>
      <x:c r="D400" s="29"/>
      <x:c r="E400" s="33"/>
      <x:c r="F400"/>
      <x:c r="G400"/>
      <x:c r="H400"/>
    </x:row>
    <x:row r="401">
      <x:c r="A401" s="65"/>
      <x:c r="B401"/>
      <x:c r="C401"/>
      <x:c r="D401" s="29"/>
      <x:c r="E401" s="33"/>
      <x:c r="F401"/>
      <x:c r="G401"/>
      <x:c r="H401"/>
    </x:row>
    <x:row r="402">
      <x:c r="A402" s="65"/>
      <x:c r="B402"/>
      <x:c r="C402"/>
      <x:c r="D402" s="29"/>
      <x:c r="E402" s="33"/>
      <x:c r="F402"/>
      <x:c r="G402"/>
      <x:c r="H402"/>
    </x:row>
    <x:row r="403">
      <x:c r="A403" s="65"/>
      <x:c r="B403"/>
      <x:c r="C403"/>
      <x:c r="D403" s="29"/>
      <x:c r="E403" s="33"/>
      <x:c r="F403"/>
      <x:c r="G403"/>
      <x:c r="H403"/>
    </x:row>
    <x:row r="404">
      <x:c r="A404" s="65"/>
      <x:c r="B404"/>
      <x:c r="C404"/>
      <x:c r="D404" s="29"/>
      <x:c r="E404" s="33"/>
      <x:c r="F404"/>
      <x:c r="G404"/>
      <x:c r="H404"/>
    </x:row>
    <x:row r="405">
      <x:c r="A405" s="65"/>
      <x:c r="B405"/>
      <x:c r="C405"/>
      <x:c r="D405" s="29"/>
      <x:c r="E405" s="33"/>
      <x:c r="F405"/>
      <x:c r="G405"/>
      <x:c r="H405"/>
    </x:row>
    <x:row r="406">
      <x:c r="A406" s="65"/>
      <x:c r="B406"/>
      <x:c r="C406"/>
      <x:c r="D406" s="29"/>
      <x:c r="E406" s="33"/>
      <x:c r="F406"/>
      <x:c r="G406"/>
      <x:c r="H406"/>
    </x:row>
    <x:row r="407">
      <x:c r="A407" s="65"/>
      <x:c r="B407"/>
      <x:c r="C407"/>
      <x:c r="D407" s="29"/>
      <x:c r="E407" s="33"/>
      <x:c r="F407"/>
      <x:c r="G407"/>
      <x:c r="H407"/>
    </x:row>
    <x:row r="408">
      <x:c r="A408" s="65"/>
      <x:c r="B408"/>
      <x:c r="C408"/>
      <x:c r="D408" s="29"/>
      <x:c r="E408" s="33"/>
      <x:c r="F408"/>
      <x:c r="G408"/>
      <x:c r="H408"/>
    </x:row>
    <x:row r="409">
      <x:c r="A409" s="65"/>
      <x:c r="B409"/>
      <x:c r="C409"/>
      <x:c r="D409" s="29"/>
      <x:c r="E409" s="33"/>
      <x:c r="F409"/>
      <x:c r="G409"/>
      <x:c r="H409"/>
    </x:row>
    <x:row r="410">
      <x:c r="A410" s="65"/>
      <x:c r="B410"/>
      <x:c r="C410"/>
      <x:c r="D410" s="29"/>
      <x:c r="E410" s="33"/>
      <x:c r="F410"/>
      <x:c r="G410"/>
      <x:c r="H410"/>
    </x:row>
    <x:row r="411">
      <x:c r="A411" s="65"/>
      <x:c r="B411"/>
      <x:c r="C411"/>
      <x:c r="D411" s="29"/>
      <x:c r="E411" s="33"/>
      <x:c r="F411"/>
      <x:c r="G411"/>
      <x:c r="H411"/>
    </x:row>
    <x:row r="412">
      <x:c r="A412" s="65"/>
      <x:c r="B412"/>
      <x:c r="C412"/>
      <x:c r="D412" s="29"/>
      <x:c r="E412" s="33"/>
      <x:c r="F412"/>
      <x:c r="G412"/>
      <x:c r="H412"/>
    </x:row>
    <x:row r="413">
      <x:c r="A413" s="65"/>
      <x:c r="B413"/>
      <x:c r="C413"/>
      <x:c r="D413" s="29"/>
      <x:c r="E413" s="33"/>
      <x:c r="F413"/>
      <x:c r="G413"/>
      <x:c r="H413"/>
    </x:row>
    <x:row r="414">
      <x:c r="A414" s="65"/>
      <x:c r="B414"/>
      <x:c r="C414"/>
      <x:c r="D414" s="29"/>
      <x:c r="E414" s="33"/>
      <x:c r="F414"/>
      <x:c r="G414"/>
      <x:c r="H414"/>
    </x:row>
    <x:row r="415">
      <x:c r="A415" s="65"/>
      <x:c r="B415"/>
      <x:c r="C415"/>
      <x:c r="D415" s="29"/>
      <x:c r="E415" s="33"/>
      <x:c r="F415"/>
      <x:c r="G415"/>
      <x:c r="H415"/>
    </x:row>
    <x:row r="416">
      <x:c r="A416" s="65"/>
      <x:c r="B416"/>
      <x:c r="C416"/>
      <x:c r="D416" s="29"/>
      <x:c r="E416" s="33"/>
      <x:c r="F416"/>
      <x:c r="G416"/>
      <x:c r="H416"/>
    </x:row>
    <x:row r="417">
      <x:c r="A417" s="65"/>
      <x:c r="B417"/>
      <x:c r="C417"/>
      <x:c r="D417" s="29"/>
      <x:c r="E417" s="33"/>
      <x:c r="F417"/>
      <x:c r="G417"/>
      <x:c r="H417"/>
    </x:row>
    <x:row r="418">
      <x:c r="A418" s="65"/>
      <x:c r="B418"/>
      <x:c r="C418"/>
      <x:c r="D418" s="29"/>
      <x:c r="E418" s="33"/>
      <x:c r="F418"/>
      <x:c r="G418"/>
      <x:c r="H418"/>
    </x:row>
    <x:row r="419">
      <x:c r="A419" s="65"/>
      <x:c r="B419"/>
      <x:c r="C419"/>
      <x:c r="D419" s="29"/>
      <x:c r="E419" s="33"/>
      <x:c r="F419"/>
      <x:c r="G419"/>
      <x:c r="H419"/>
    </x:row>
    <x:row r="420">
      <x:c r="A420" s="65"/>
      <x:c r="B420"/>
      <x:c r="C420"/>
      <x:c r="D420" s="29"/>
      <x:c r="E420" s="33"/>
      <x:c r="F420"/>
      <x:c r="G420"/>
      <x:c r="H420"/>
    </x:row>
    <x:row r="421">
      <x:c r="A421" s="65"/>
      <x:c r="B421"/>
      <x:c r="C421"/>
      <x:c r="D421" s="29"/>
      <x:c r="E421" s="33"/>
      <x:c r="F421"/>
      <x:c r="G421"/>
      <x:c r="H421"/>
    </x:row>
    <x:row r="422">
      <x:c r="A422" s="65"/>
      <x:c r="B422"/>
      <x:c r="C422"/>
      <x:c r="D422" s="29"/>
      <x:c r="E422" s="33"/>
      <x:c r="F422"/>
      <x:c r="G422"/>
      <x:c r="H422"/>
    </x:row>
    <x:row r="423">
      <x:c r="A423" s="65"/>
      <x:c r="B423"/>
      <x:c r="C423"/>
      <x:c r="D423" s="29"/>
      <x:c r="E423" s="33"/>
      <x:c r="F423"/>
      <x:c r="G423"/>
      <x:c r="H423"/>
    </x:row>
    <x:row r="424">
      <x:c r="A424" s="65"/>
      <x:c r="B424"/>
      <x:c r="C424"/>
      <x:c r="D424" s="29"/>
      <x:c r="E424" s="33"/>
      <x:c r="F424"/>
      <x:c r="G424"/>
      <x:c r="H424"/>
    </x:row>
    <x:row r="425">
      <x:c r="A425" s="65"/>
      <x:c r="B425"/>
      <x:c r="C425"/>
      <x:c r="D425" s="29"/>
      <x:c r="E425" s="33"/>
      <x:c r="F425"/>
      <x:c r="G425"/>
      <x:c r="H425"/>
    </x:row>
    <x:row r="426">
      <x:c r="A426" s="65"/>
      <x:c r="B426"/>
      <x:c r="C426"/>
      <x:c r="D426" s="29"/>
      <x:c r="E426" s="33"/>
      <x:c r="F426"/>
      <x:c r="G426"/>
      <x:c r="H426"/>
    </x:row>
    <x:row r="427">
      <x:c r="A427" s="65"/>
      <x:c r="B427"/>
      <x:c r="C427"/>
      <x:c r="D427" s="29"/>
      <x:c r="E427" s="33"/>
      <x:c r="F427"/>
      <x:c r="G427"/>
      <x:c r="H427"/>
    </x:row>
    <x:row r="428">
      <x:c r="A428" s="65"/>
      <x:c r="B428"/>
      <x:c r="C428"/>
      <x:c r="D428" s="29"/>
      <x:c r="E428" s="33"/>
      <x:c r="F428"/>
      <x:c r="G428"/>
      <x:c r="H428"/>
    </x:row>
    <x:row r="429">
      <x:c r="A429" s="65"/>
      <x:c r="B429"/>
      <x:c r="C429"/>
      <x:c r="D429" s="29"/>
      <x:c r="E429" s="33"/>
      <x:c r="F429"/>
      <x:c r="G429"/>
      <x:c r="H429"/>
    </x:row>
    <x:row r="430">
      <x:c r="A430" s="65"/>
      <x:c r="B430"/>
      <x:c r="C430"/>
      <x:c r="D430" s="29"/>
      <x:c r="E430" s="33"/>
      <x:c r="F430"/>
      <x:c r="G430"/>
      <x:c r="H430"/>
    </x:row>
    <x:row r="431">
      <x:c r="A431" s="65"/>
      <x:c r="B431"/>
      <x:c r="C431"/>
      <x:c r="D431" s="29"/>
      <x:c r="E431" s="33"/>
      <x:c r="F431"/>
      <x:c r="G431"/>
      <x:c r="H431"/>
    </x:row>
    <x:row r="432">
      <x:c r="A432" s="65"/>
      <x:c r="B432"/>
      <x:c r="C432"/>
      <x:c r="D432" s="29"/>
      <x:c r="E432" s="33"/>
      <x:c r="F432"/>
      <x:c r="G432"/>
      <x:c r="H432"/>
    </x:row>
    <x:row r="433">
      <x:c r="A433" s="65"/>
      <x:c r="B433"/>
      <x:c r="C433"/>
      <x:c r="D433" s="29"/>
      <x:c r="E433" s="33"/>
      <x:c r="F433"/>
      <x:c r="G433"/>
      <x:c r="H433"/>
    </x:row>
    <x:row r="434">
      <x:c r="A434" s="65"/>
      <x:c r="B434"/>
      <x:c r="C434"/>
      <x:c r="D434" s="29"/>
      <x:c r="E434" s="33"/>
      <x:c r="F434"/>
      <x:c r="G434"/>
      <x:c r="H434"/>
    </x:row>
    <x:row r="435">
      <x:c r="A435" s="65"/>
      <x:c r="B435"/>
      <x:c r="C435"/>
      <x:c r="D435" s="29"/>
      <x:c r="E435" s="33"/>
      <x:c r="F435"/>
      <x:c r="G435"/>
      <x:c r="H435"/>
    </x:row>
    <x:row r="436">
      <x:c r="A436" s="65"/>
      <x:c r="B436"/>
      <x:c r="C436"/>
      <x:c r="D436" s="29"/>
      <x:c r="E436" s="33"/>
      <x:c r="F436"/>
      <x:c r="G436"/>
      <x:c r="H436"/>
    </x:row>
    <x:row r="437">
      <x:c r="A437" s="65"/>
      <x:c r="B437"/>
      <x:c r="C437"/>
      <x:c r="D437" s="29"/>
      <x:c r="E437" s="33"/>
      <x:c r="F437"/>
      <x:c r="G437"/>
      <x:c r="H437"/>
    </x:row>
    <x:row r="438">
      <x:c r="A438" s="65"/>
      <x:c r="B438"/>
      <x:c r="C438"/>
      <x:c r="D438" s="29"/>
      <x:c r="E438" s="33"/>
      <x:c r="F438"/>
      <x:c r="G438"/>
      <x:c r="H438"/>
    </x:row>
    <x:row r="439">
      <x:c r="A439" s="65"/>
      <x:c r="B439"/>
      <x:c r="C439"/>
      <x:c r="D439" s="29"/>
      <x:c r="E439" s="33"/>
      <x:c r="F439"/>
      <x:c r="G439"/>
      <x:c r="H439"/>
    </x:row>
    <x:row r="440">
      <x:c r="A440" s="65"/>
      <x:c r="B440"/>
      <x:c r="C440"/>
      <x:c r="D440" s="29"/>
      <x:c r="E440" s="33"/>
      <x:c r="F440"/>
      <x:c r="G440"/>
      <x:c r="H440"/>
    </x:row>
    <x:row r="441">
      <x:c r="A441" s="65"/>
      <x:c r="B441"/>
      <x:c r="C441"/>
      <x:c r="D441" s="29"/>
      <x:c r="E441" s="33"/>
      <x:c r="F441"/>
      <x:c r="G441"/>
      <x:c r="H441"/>
    </x:row>
    <x:row r="442">
      <x:c r="A442" s="65"/>
      <x:c r="B442"/>
      <x:c r="C442"/>
      <x:c r="D442" s="29"/>
      <x:c r="E442" s="33"/>
      <x:c r="F442"/>
      <x:c r="G442"/>
      <x:c r="H442"/>
    </x:row>
    <x:row r="443">
      <x:c r="A443" s="65"/>
      <x:c r="B443"/>
      <x:c r="C443"/>
      <x:c r="D443" s="29"/>
      <x:c r="E443" s="33"/>
      <x:c r="F443"/>
      <x:c r="G443"/>
      <x:c r="H443"/>
    </x:row>
    <x:row r="444">
      <x:c r="A444" s="65"/>
      <x:c r="B444"/>
      <x:c r="C444"/>
      <x:c r="D444" s="29"/>
      <x:c r="E444" s="33"/>
      <x:c r="F444"/>
      <x:c r="G444"/>
      <x:c r="H444"/>
    </x:row>
    <x:row r="445">
      <x:c r="A445" s="65"/>
      <x:c r="B445"/>
      <x:c r="C445"/>
      <x:c r="D445" s="29"/>
      <x:c r="E445" s="33"/>
      <x:c r="F445"/>
      <x:c r="G445"/>
      <x:c r="H445"/>
    </x:row>
    <x:row r="446">
      <x:c r="A446" s="65"/>
      <x:c r="B446"/>
      <x:c r="C446"/>
      <x:c r="D446" s="29"/>
      <x:c r="E446" s="33"/>
      <x:c r="F446"/>
      <x:c r="G446"/>
      <x:c r="H446"/>
    </x:row>
    <x:row r="447">
      <x:c r="A447" s="65"/>
      <x:c r="B447"/>
      <x:c r="C447"/>
      <x:c r="D447" s="29"/>
      <x:c r="E447" s="33"/>
      <x:c r="F447"/>
      <x:c r="G447"/>
      <x:c r="H447"/>
    </x:row>
    <x:row r="448">
      <x:c r="A448" s="65"/>
      <x:c r="B448"/>
      <x:c r="C448"/>
      <x:c r="D448" s="29"/>
      <x:c r="E448" s="33"/>
      <x:c r="F448"/>
      <x:c r="G448"/>
      <x:c r="H448"/>
    </x:row>
    <x:row r="449">
      <x:c r="A449" s="65"/>
      <x:c r="B449"/>
      <x:c r="C449"/>
      <x:c r="D449" s="29"/>
      <x:c r="E449" s="33"/>
      <x:c r="F449"/>
      <x:c r="G449"/>
      <x:c r="H449"/>
    </x:row>
    <x:row r="450">
      <x:c r="A450" s="65"/>
      <x:c r="B450"/>
      <x:c r="C450"/>
      <x:c r="D450" s="29"/>
      <x:c r="E450" s="33"/>
      <x:c r="F450"/>
      <x:c r="G450"/>
      <x:c r="H450"/>
    </x:row>
    <x:row r="451">
      <x:c r="A451" s="65"/>
      <x:c r="B451"/>
      <x:c r="C451"/>
      <x:c r="D451" s="29"/>
      <x:c r="E451" s="33"/>
      <x:c r="F451"/>
      <x:c r="G451"/>
      <x:c r="H451"/>
    </x:row>
    <x:row r="452">
      <x:c r="A452" s="65"/>
      <x:c r="B452"/>
      <x:c r="C452"/>
      <x:c r="D452" s="29"/>
      <x:c r="E452" s="33"/>
      <x:c r="F452"/>
      <x:c r="G452"/>
      <x:c r="H452"/>
    </x:row>
    <x:row r="453">
      <x:c r="A453" s="65"/>
      <x:c r="B453"/>
      <x:c r="C453"/>
      <x:c r="D453" s="29"/>
      <x:c r="E453" s="33"/>
      <x:c r="F453"/>
      <x:c r="G453"/>
      <x:c r="H453"/>
    </x:row>
    <x:row r="454">
      <x:c r="A454" s="65"/>
      <x:c r="B454"/>
      <x:c r="C454"/>
      <x:c r="D454" s="29"/>
      <x:c r="E454" s="33"/>
      <x:c r="F454"/>
      <x:c r="G454"/>
      <x:c r="H454"/>
    </x:row>
    <x:row r="455">
      <x:c r="A455" s="65"/>
      <x:c r="B455"/>
      <x:c r="C455"/>
      <x:c r="D455" s="29"/>
      <x:c r="E455" s="33"/>
      <x:c r="F455"/>
      <x:c r="G455"/>
      <x:c r="H455"/>
    </x:row>
    <x:row r="456">
      <x:c r="A456" s="65"/>
      <x:c r="B456"/>
      <x:c r="C456"/>
      <x:c r="D456" s="29"/>
      <x:c r="E456" s="33"/>
      <x:c r="F456"/>
      <x:c r="G456"/>
      <x:c r="H456"/>
    </x:row>
    <x:row r="457">
      <x:c r="A457" s="65"/>
      <x:c r="B457"/>
      <x:c r="C457"/>
      <x:c r="D457" s="29"/>
      <x:c r="E457" s="33"/>
      <x:c r="F457"/>
      <x:c r="G457"/>
      <x:c r="H457"/>
    </x:row>
    <x:row r="458">
      <x:c r="A458" s="65"/>
      <x:c r="B458"/>
      <x:c r="C458"/>
      <x:c r="D458" s="29"/>
      <x:c r="E458" s="33"/>
      <x:c r="F458"/>
      <x:c r="G458"/>
      <x:c r="H458"/>
    </x:row>
    <x:row r="459">
      <x:c r="A459" s="65"/>
      <x:c r="B459"/>
      <x:c r="C459"/>
      <x:c r="D459" s="29"/>
      <x:c r="E459" s="33"/>
      <x:c r="F459"/>
      <x:c r="G459"/>
      <x:c r="H459"/>
    </x:row>
    <x:row r="460">
      <x:c r="A460" s="65"/>
      <x:c r="B460"/>
      <x:c r="C460"/>
      <x:c r="D460" s="29"/>
      <x:c r="E460" s="33"/>
      <x:c r="F460"/>
      <x:c r="G460"/>
      <x:c r="H460"/>
    </x:row>
    <x:row r="461">
      <x:c r="A461" s="65"/>
      <x:c r="B461"/>
      <x:c r="C461"/>
      <x:c r="D461" s="29"/>
      <x:c r="E461" s="33"/>
      <x:c r="F461"/>
      <x:c r="G461"/>
      <x:c r="H461"/>
    </x:row>
    <x:row r="462">
      <x:c r="A462" s="65"/>
      <x:c r="B462"/>
      <x:c r="C462"/>
      <x:c r="D462" s="29"/>
      <x:c r="E462" s="33"/>
      <x:c r="F462"/>
      <x:c r="G462"/>
      <x:c r="H462"/>
    </x:row>
    <x:row r="463">
      <x:c r="A463" s="65"/>
      <x:c r="B463"/>
      <x:c r="C463"/>
      <x:c r="D463" s="29"/>
      <x:c r="E463" s="33"/>
      <x:c r="F463"/>
      <x:c r="G463"/>
      <x:c r="H463"/>
    </x:row>
    <x:row r="464">
      <x:c r="A464" s="65"/>
      <x:c r="B464"/>
      <x:c r="C464"/>
      <x:c r="D464" s="29"/>
      <x:c r="E464" s="33"/>
      <x:c r="F464"/>
      <x:c r="G464"/>
      <x:c r="H464"/>
    </x:row>
    <x:row r="465">
      <x:c r="A465" s="65"/>
      <x:c r="B465"/>
      <x:c r="C465"/>
      <x:c r="D465" s="29"/>
      <x:c r="E465" s="33"/>
      <x:c r="F465"/>
      <x:c r="G465"/>
      <x:c r="H465"/>
    </x:row>
    <x:row r="466">
      <x:c r="A466" s="65"/>
      <x:c r="B466"/>
      <x:c r="C466"/>
      <x:c r="D466" s="29"/>
      <x:c r="E466" s="33"/>
      <x:c r="F466"/>
      <x:c r="G466"/>
      <x:c r="H466"/>
    </x:row>
    <x:row r="467">
      <x:c r="A467" s="65"/>
      <x:c r="B467"/>
      <x:c r="C467"/>
      <x:c r="D467" s="29"/>
      <x:c r="E467" s="33"/>
      <x:c r="F467"/>
      <x:c r="G467"/>
      <x:c r="H467"/>
    </x:row>
    <x:row r="468">
      <x:c r="A468" s="65"/>
      <x:c r="B468"/>
      <x:c r="C468"/>
      <x:c r="D468" s="29"/>
      <x:c r="E468" s="33"/>
      <x:c r="F468"/>
      <x:c r="G468"/>
      <x:c r="H468"/>
    </x:row>
    <x:row r="469">
      <x:c r="A469" s="65"/>
      <x:c r="B469"/>
      <x:c r="C469"/>
      <x:c r="D469" s="29"/>
      <x:c r="E469" s="33"/>
      <x:c r="F469"/>
      <x:c r="G469"/>
      <x:c r="H469"/>
    </x:row>
    <x:row r="470">
      <x:c r="A470" s="65"/>
      <x:c r="B470"/>
      <x:c r="C470"/>
      <x:c r="D470" s="29"/>
      <x:c r="E470" s="33"/>
      <x:c r="F470"/>
      <x:c r="G470"/>
      <x:c r="H470"/>
    </x:row>
    <x:row r="471">
      <x:c r="A471" s="65"/>
      <x:c r="B471"/>
      <x:c r="C471"/>
      <x:c r="D471" s="29"/>
      <x:c r="E471" s="33"/>
      <x:c r="F471"/>
      <x:c r="G471"/>
      <x:c r="H471"/>
    </x:row>
    <x:row r="472">
      <x:c r="A472" s="65"/>
      <x:c r="B472"/>
      <x:c r="C472"/>
      <x:c r="D472" s="29"/>
      <x:c r="E472" s="33"/>
      <x:c r="F472"/>
      <x:c r="G472"/>
      <x:c r="H472"/>
    </x:row>
    <x:row r="473">
      <x:c r="A473" s="65"/>
      <x:c r="B473"/>
      <x:c r="C473"/>
      <x:c r="D473" s="29"/>
      <x:c r="E473" s="33"/>
      <x:c r="F473"/>
      <x:c r="G473"/>
      <x:c r="H473"/>
    </x:row>
    <x:row r="474">
      <x:c r="A474" s="65"/>
      <x:c r="B474"/>
      <x:c r="C474"/>
      <x:c r="D474" s="29"/>
      <x:c r="E474" s="33"/>
      <x:c r="F474"/>
      <x:c r="G474"/>
      <x:c r="H474"/>
    </x:row>
    <x:row r="475">
      <x:c r="A475" s="65"/>
      <x:c r="B475"/>
      <x:c r="C475"/>
      <x:c r="D475" s="29"/>
      <x:c r="E475" s="33"/>
      <x:c r="F475"/>
      <x:c r="G475"/>
      <x:c r="H475"/>
    </x:row>
    <x:row r="476">
      <x:c r="A476" s="65"/>
      <x:c r="B476"/>
      <x:c r="C476"/>
      <x:c r="D476" s="29"/>
      <x:c r="E476" s="33"/>
      <x:c r="F476"/>
      <x:c r="G476"/>
      <x:c r="H476"/>
    </x:row>
    <x:row r="477">
      <x:c r="A477" s="65"/>
      <x:c r="B477"/>
      <x:c r="C477"/>
      <x:c r="D477" s="29"/>
      <x:c r="E477" s="33"/>
      <x:c r="F477"/>
      <x:c r="G477"/>
      <x:c r="H477"/>
    </x:row>
    <x:row r="478">
      <x:c r="A478" s="65"/>
      <x:c r="B478"/>
      <x:c r="C478"/>
      <x:c r="D478" s="29"/>
      <x:c r="E478" s="33"/>
      <x:c r="F478"/>
      <x:c r="G478"/>
      <x:c r="H478"/>
    </x:row>
    <x:row r="479">
      <x:c r="A479" s="65"/>
      <x:c r="B479"/>
      <x:c r="C479"/>
      <x:c r="D479" s="29"/>
      <x:c r="E479" s="33"/>
      <x:c r="F479"/>
      <x:c r="G479"/>
      <x:c r="H479"/>
    </x:row>
    <x:row r="480">
      <x:c r="A480" s="65"/>
      <x:c r="B480"/>
      <x:c r="C480"/>
      <x:c r="D480" s="29"/>
      <x:c r="E480" s="33"/>
      <x:c r="F480"/>
      <x:c r="G480"/>
      <x:c r="H480"/>
    </x:row>
    <x:row r="481">
      <x:c r="A481" s="65"/>
      <x:c r="B481"/>
      <x:c r="C481"/>
      <x:c r="D481" s="29"/>
      <x:c r="E481" s="33"/>
      <x:c r="F481"/>
      <x:c r="G481"/>
      <x:c r="H481"/>
    </x:row>
    <x:row r="482">
      <x:c r="A482" s="65"/>
      <x:c r="B482"/>
      <x:c r="C482"/>
      <x:c r="D482" s="29"/>
      <x:c r="E482" s="33"/>
      <x:c r="F482"/>
      <x:c r="G482"/>
      <x:c r="H482"/>
    </x:row>
    <x:row r="483">
      <x:c r="A483" s="65"/>
      <x:c r="B483"/>
      <x:c r="C483"/>
      <x:c r="D483" s="29"/>
      <x:c r="E483" s="33"/>
      <x:c r="F483"/>
      <x:c r="G483"/>
      <x:c r="H483"/>
    </x:row>
    <x:row r="484">
      <x:c r="A484" s="65"/>
      <x:c r="B484"/>
      <x:c r="C484"/>
      <x:c r="D484" s="29"/>
      <x:c r="E484" s="33"/>
      <x:c r="F484"/>
      <x:c r="G484"/>
      <x:c r="H484"/>
    </x:row>
    <x:row r="485">
      <x:c r="A485" s="65"/>
      <x:c r="B485"/>
      <x:c r="C485"/>
      <x:c r="D485" s="29"/>
      <x:c r="E485" s="33"/>
      <x:c r="F485"/>
      <x:c r="G485"/>
      <x:c r="H485"/>
    </x:row>
    <x:row r="486">
      <x:c r="A486" s="65"/>
      <x:c r="B486"/>
      <x:c r="C486"/>
      <x:c r="D486" s="29"/>
      <x:c r="E486" s="33"/>
      <x:c r="F486"/>
      <x:c r="G486"/>
      <x:c r="H486"/>
    </x:row>
    <x:row r="487">
      <x:c r="A487" s="65"/>
      <x:c r="B487"/>
      <x:c r="C487"/>
      <x:c r="D487" s="29"/>
      <x:c r="E487" s="33"/>
      <x:c r="F487"/>
      <x:c r="G487"/>
      <x:c r="H487"/>
    </x:row>
    <x:row r="488">
      <x:c r="A488" s="65"/>
      <x:c r="B488"/>
      <x:c r="C488"/>
      <x:c r="D488" s="29"/>
      <x:c r="E488" s="33"/>
      <x:c r="F488"/>
      <x:c r="G488"/>
      <x:c r="H488"/>
    </x:row>
    <x:row r="489">
      <x:c r="A489" s="65"/>
      <x:c r="B489"/>
      <x:c r="C489"/>
      <x:c r="D489" s="29"/>
      <x:c r="E489" s="33"/>
      <x:c r="F489"/>
      <x:c r="G489"/>
      <x:c r="H489"/>
    </x:row>
    <x:row r="490">
      <x:c r="A490" s="65"/>
      <x:c r="B490"/>
      <x:c r="C490"/>
      <x:c r="D490" s="29"/>
      <x:c r="E490" s="33"/>
      <x:c r="F490"/>
      <x:c r="G490"/>
      <x:c r="H490"/>
    </x:row>
    <x:row r="491">
      <x:c r="A491" s="65"/>
      <x:c r="B491"/>
      <x:c r="C491"/>
      <x:c r="D491" s="29"/>
      <x:c r="E491" s="33"/>
      <x:c r="F491"/>
      <x:c r="G491"/>
      <x:c r="H491"/>
    </x:row>
    <x:row r="492">
      <x:c r="A492" s="65"/>
      <x:c r="B492"/>
      <x:c r="C492"/>
      <x:c r="D492" s="29"/>
      <x:c r="E492" s="33"/>
      <x:c r="F492"/>
      <x:c r="G492"/>
      <x:c r="H492"/>
    </x:row>
    <x:row r="493">
      <x:c r="A493" s="65"/>
      <x:c r="B493"/>
      <x:c r="C493"/>
      <x:c r="D493" s="29"/>
      <x:c r="E493" s="33"/>
      <x:c r="F493"/>
      <x:c r="G493"/>
      <x:c r="H493"/>
    </x:row>
    <x:row r="494">
      <x:c r="A494" s="65"/>
      <x:c r="B494"/>
      <x:c r="C494"/>
      <x:c r="D494" s="29"/>
      <x:c r="E494" s="33"/>
      <x:c r="F494"/>
      <x:c r="G494"/>
      <x:c r="H494"/>
    </x:row>
    <x:row r="495">
      <x:c r="A495" s="65"/>
      <x:c r="B495"/>
      <x:c r="C495"/>
      <x:c r="D495" s="29"/>
      <x:c r="E495" s="33"/>
      <x:c r="F495"/>
      <x:c r="G495"/>
      <x:c r="H495"/>
    </x:row>
    <x:row r="496">
      <x:c r="A496" s="65"/>
      <x:c r="B496"/>
      <x:c r="C496"/>
      <x:c r="D496" s="29"/>
      <x:c r="E496" s="33"/>
      <x:c r="F496"/>
      <x:c r="G496"/>
      <x:c r="H496"/>
    </x:row>
    <x:row r="497">
      <x:c r="A497" s="65"/>
      <x:c r="B497"/>
      <x:c r="C497"/>
      <x:c r="D497" s="29"/>
      <x:c r="E497" s="33"/>
      <x:c r="F497"/>
      <x:c r="G497"/>
      <x:c r="H497"/>
    </x:row>
    <x:row r="498">
      <x:c r="A498" s="65"/>
      <x:c r="B498"/>
      <x:c r="C498"/>
      <x:c r="D498" s="29"/>
      <x:c r="E498" s="33"/>
      <x:c r="F498"/>
      <x:c r="G498"/>
      <x:c r="H498"/>
    </x:row>
    <x:row r="499">
      <x:c r="A499" s="65"/>
      <x:c r="B499"/>
      <x:c r="C499"/>
      <x:c r="D499" s="29"/>
      <x:c r="E499" s="33"/>
      <x:c r="F499"/>
      <x:c r="G499"/>
      <x:c r="H499"/>
    </x:row>
    <x:row r="500">
      <x:c r="A500" s="65"/>
      <x:c r="B500"/>
      <x:c r="C500"/>
      <x:c r="D500" s="29"/>
      <x:c r="E500" s="33"/>
      <x:c r="F500"/>
      <x:c r="G500"/>
      <x:c r="H500"/>
    </x:row>
    <x:row r="501">
      <x:c r="A501" s="65"/>
      <x:c r="B501"/>
      <x:c r="C501"/>
      <x:c r="D501" s="29"/>
      <x:c r="E501" s="33"/>
      <x:c r="F501"/>
      <x:c r="G501"/>
      <x:c r="H501"/>
    </x:row>
  </x:sheetData>
  <x:dataValidations count="2">
    <x:dataValidation type="list" sqref="B2:B501">
      <x:formula1>Inventario!$A$2:$A$107</x:formula1>
    </x:dataValidation>
    <x:dataValidation type="list" sqref="C2:C501">
      <x:formula1>"Entrada,Venta"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3f08aeaca246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9" t="str">
        <x:v>CONTROL DE INVENTARIO</x:v>
      </x:c>
      <x:c r="B1" s="69"/>
      <x:c r="C1" s="69"/>
      <x:c r="D1" s="69"/>
      <x:c r="E1" s="69"/>
      <x:c r="F1" s="69"/>
    </x:row>
    <x:row r="3">
      <x:c r="A3" s="79" t="str">
        <x:v>Indicador</x:v>
      </x:c>
      <x:c r="B3" s="80" t="str">
        <x:v>Valor</x:v>
      </x:c>
      <x:c r="D3" s="95" t="str">
        <x:v>Cómo usar</x:v>
      </x:c>
      <x:c r="E3" s="95"/>
      <x:c r="F3" s="95"/>
    </x:row>
    <x:row r="4">
      <x:c r="A4" s="81" t="str">
        <x:v>Productos registrados</x:v>
      </x:c>
      <x:c r="B4" s="82" t="n">
        <x:f>COUNTA(Inventario!A2:A107)</x:f>
        <x:v>106</x:v>
      </x:c>
      <x:c r="D4" s="38" t="str">
        <x:v>1. Registre cada venta en la hoja Movimientos.</x:v>
      </x:c>
      <x:c r="E4" s="38"/>
      <x:c r="F4" s="38"/>
    </x:row>
    <x:row r="5">
      <x:c r="A5" s="81" t="str">
        <x:v>Unidades iniciales</x:v>
      </x:c>
      <x:c r="B5" s="82" t="n">
        <x:f>SUM(Inventario!E2:E107)</x:f>
        <x:v>1032.3233</x:v>
      </x:c>
      <x:c r="D5" s="38" t="str">
        <x:v>2. Seleccione el código y el tipo Venta.</x:v>
      </x:c>
      <x:c r="E5" s="38"/>
      <x:c r="F5" s="38"/>
    </x:row>
    <x:row r="6">
      <x:c r="A6" s="81" t="str">
        <x:v>Valor inventario inicial</x:v>
      </x:c>
      <x:c r="B6" s="91" t="n">
        <x:f>SUM(Inventario!I2:I107)</x:f>
        <x:v>29306000</x:v>
      </x:c>
      <x:c r="D6" s="38" t="str">
        <x:v>3. El stock se descuenta automáticamente.</x:v>
      </x:c>
      <x:c r="E6" s="38"/>
      <x:c r="F6" s="38"/>
    </x:row>
    <x:row r="7">
      <x:c r="A7" s="81" t="str">
        <x:v>Valor inventario actual</x:v>
      </x:c>
      <x:c r="B7" s="91" t="n">
        <x:f>SUM(Inventario!K2:K107)</x:f>
        <x:v>29306000</x:v>
      </x:c>
      <x:c r="D7" s="38" t="str">
        <x:v>4. Registre compras como tipo Entrada.</x:v>
      </x:c>
      <x:c r="E7" s="38"/>
      <x:c r="F7" s="38"/>
    </x:row>
    <x:row r="8">
      <x:c r="A8" s="83" t="str">
        <x:v>Productos agotados</x:v>
      </x:c>
      <x:c r="B8" s="84" t="n">
        <x:f>COUNTIF(Inventario!M2:M107,"AGOTADO")</x:f>
        <x:v>0</x:v>
      </x:c>
      <x:c r="D8" s="38" t="str">
        <x:v>5. Revise los renglones marcados en la columna Revisar.</x:v>
      </x:c>
      <x:c r="E8" s="38"/>
      <x:c r="F8" s="38"/>
    </x:row>
    <x:row r="11">
      <x:c r="A11" s="74" t="str">
        <x:v>Categoría</x:v>
      </x:c>
      <x:c r="B11" s="74" t="str">
        <x:v>Valor actual</x:v>
      </x:c>
    </x:row>
    <x:row r="12">
      <x:c r="A12" t="str">
        <x:v>Filtros</x:v>
      </x:c>
      <x:c r="B12" s="33" t="n">
        <x:f>SUMIF(Inventario!$C$2:$C$107,A12,Inventario!$K$2:$K$107)</x:f>
        <x:v>4705000</x:v>
      </x:c>
    </x:row>
    <x:row r="13">
      <x:c r="A13" t="str">
        <x:v>Lubricantes</x:v>
      </x:c>
      <x:c r="B13" s="33" t="n">
        <x:f>SUMIF(Inventario!$C$2:$C$107,A13,Inventario!$K$2:$K$107)</x:f>
        <x:v>7655000</x:v>
      </x:c>
    </x:row>
    <x:row r="14">
      <x:c r="A14" t="str">
        <x:v>Químicos</x:v>
      </x:c>
      <x:c r="B14" s="33" t="n">
        <x:f>SUMIF(Inventario!$C$2:$C$107,A14,Inventario!$K$2:$K$107)</x:f>
        <x:v>1330000</x:v>
      </x:c>
    </x:row>
    <x:row r="15">
      <x:c r="A15" t="str">
        <x:v>Retenedores</x:v>
      </x:c>
      <x:c r="B15" s="33" t="n">
        <x:f>SUMIF(Inventario!$C$2:$C$107,A15,Inventario!$K$2:$K$107)</x:f>
        <x:v>1566000</x:v>
      </x:c>
    </x:row>
    <x:row r="16">
      <x:c r="A16" t="str">
        <x:v>Repuestos</x:v>
      </x:c>
      <x:c r="B16" s="33" t="n">
        <x:f>SUMIF(Inventario!$C$2:$C$107,A16,Inventario!$K$2:$K$107)</x:f>
        <x:v>7834000</x:v>
      </x:c>
    </x:row>
    <x:row r="17">
      <x:c r="A17" t="str">
        <x:v>Fricción</x:v>
      </x:c>
      <x:c r="B17" s="33" t="n">
        <x:f>SUMIF(Inventario!$C$2:$C$107,A17,Inventario!$K$2:$K$107)</x:f>
        <x:v>6216000</x:v>
      </x:c>
    </x:row>
  </x:sheetData>
  <x:mergeCells>
    <x:mergeCell ref="A1:F1"/>
    <x:mergeCell ref="D3:F3"/>
    <x:mergeCell ref="D4:F4"/>
    <x:mergeCell ref="D5:F5"/>
    <x:mergeCell ref="D6:F6"/>
    <x:mergeCell ref="D7:F7"/>
    <x:mergeCell ref="D8:F8"/>
  </x:mergeCells>
  <x:pageMargins left="0.7" right="0.7" top="0.75" bottom="0.75" header="0.3" footer="0.3"/>
  <x:drawing xmlns:r="http://schemas.openxmlformats.org/officeDocument/2006/relationships" r:id="R22e9b27775db45c5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t="str">
        <x:v>Tipos</x:v>
      </x:c>
      <x:c r="C1" t="str">
        <x:v>Categorías</x:v>
      </x:c>
    </x:row>
    <x:row r="2">
      <x:c r="A2" t="str">
        <x:v>Entrada</x:v>
      </x:c>
      <x:c r="C2" t="str">
        <x:v>Filtros</x:v>
      </x:c>
    </x:row>
    <x:row r="3">
      <x:c r="A3" t="str">
        <x:v>Venta</x:v>
      </x:c>
      <x:c r="C3" t="str">
        <x:v>Lubricantes</x:v>
      </x:c>
    </x:row>
    <x:row r="4">
      <x:c r="C4" t="str">
        <x:v>Químicos</x:v>
      </x:c>
    </x:row>
    <x:row r="5">
      <x:c r="C5" t="str">
        <x:v>Retenedores</x:v>
      </x:c>
    </x:row>
    <x:row r="6">
      <x:c r="C6" t="str">
        <x:v>Repuestos</x:v>
      </x:c>
    </x:row>
    <x:row r="7">
      <x:c r="C7" t="str">
        <x:v>Fricción</x:v>
      </x:c>
    </x:row>
    <x:row r="8">
      <x:c r="C8" t="str">
        <x:v>Otros</x:v>
      </x:c>
    </x:row>
  </x:sheetData>
  <x:pageMargins left="0.7" right="0.7" top="0.75" bottom="0.75" header="0.3" footer="0.3"/>
</x:worksheet>
</file>